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9. Githup\VSTO2\"/>
    </mc:Choice>
  </mc:AlternateContent>
  <xr:revisionPtr revIDLastSave="0" documentId="13_ncr:1_{4B8F93EE-F0FC-4BA9-A30B-13EE0D5FC02E}" xr6:coauthVersionLast="47" xr6:coauthVersionMax="47" xr10:uidLastSave="{00000000-0000-0000-0000-000000000000}"/>
  <bookViews>
    <workbookView xWindow="28680" yWindow="-120" windowWidth="29040" windowHeight="15720" tabRatio="671" activeTab="2" xr2:uid="{FAE564E3-03C2-4E97-8A4E-EDA959F53CB8}"/>
  </bookViews>
  <sheets>
    <sheet name="LV-MSB1" sheetId="7" r:id="rId1"/>
    <sheet name="MCP-B2F-FAF.Z1" sheetId="10" r:id="rId2"/>
    <sheet name="MCP-B2F-FAF.Z1 (3)" sheetId="15" r:id="rId3"/>
    <sheet name="MCP-B2F-FAF.Z1 (2)" sheetId="14" r:id="rId4"/>
    <sheet name="Spec. Cable" sheetId="8" r:id="rId5"/>
  </sheets>
  <externalReferences>
    <externalReference r:id="rId6"/>
    <externalReference r:id="rId7"/>
  </externalReferences>
  <definedNames>
    <definedName name="_xleta.TOCOL" hidden="1" xlm="1">#NAME?</definedName>
    <definedName name="cb_ISC">Table1456[[#All],[CB_Isc]]</definedName>
    <definedName name="CB_Pole">Table145[CB_Pole]</definedName>
    <definedName name="CB_Rating">Table14[[#All],[CB_Rating]]</definedName>
    <definedName name="CB_TYPE">Table146[CB_Type]</definedName>
    <definedName name="DanhSachSheet">REPLACE(GET.WORKBOOK(1), 1, FIND("]", GET.WORKBOOK(1)), "")</definedName>
    <definedName name="DKC">Table7[#All]</definedName>
    <definedName name="DKO">Table8[#All]</definedName>
    <definedName name="HasArrow">Table164[Has Arrow]</definedName>
    <definedName name="ListBlock">_xlfn.ANCHORARRAY('Spec. Cable'!$AX$4)</definedName>
    <definedName name="POLE">Table145[CB_Pole]</definedName>
    <definedName name="SL">Table15[HasPanel]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3" i="15" l="1" a="1"/>
  <c r="AO3" i="15" s="1"/>
  <c r="AO3" i="10" a="1"/>
  <c r="AO3" i="10" s="1"/>
  <c r="Q18" i="15"/>
  <c r="G17" i="15"/>
  <c r="C17" i="15"/>
  <c r="B17" i="15"/>
  <c r="C15" i="15"/>
  <c r="B15" i="15"/>
  <c r="K14" i="15"/>
  <c r="AE3" i="15" s="1"/>
  <c r="J14" i="15"/>
  <c r="AD3" i="15" s="1"/>
  <c r="I14" i="15"/>
  <c r="H14" i="15"/>
  <c r="AB3" i="15" s="1"/>
  <c r="C14" i="15"/>
  <c r="B14" i="15"/>
  <c r="C13" i="15"/>
  <c r="B13" i="15"/>
  <c r="C12" i="15"/>
  <c r="C18" i="15" s="1"/>
  <c r="B12" i="15"/>
  <c r="B18" i="15" s="1"/>
  <c r="J9" i="15"/>
  <c r="H9" i="15" s="1"/>
  <c r="K8" i="15"/>
  <c r="J8" i="15"/>
  <c r="I8" i="15"/>
  <c r="K7" i="15"/>
  <c r="J7" i="15"/>
  <c r="I7" i="15"/>
  <c r="U6" i="15"/>
  <c r="K6" i="15" s="1"/>
  <c r="C5" i="15"/>
  <c r="B5" i="15"/>
  <c r="D4" i="15"/>
  <c r="C4" i="15"/>
  <c r="B4" i="15"/>
  <c r="AI2" i="15" a="1"/>
  <c r="AI2" i="15" s="1"/>
  <c r="AH2" i="15"/>
  <c r="AG2" i="15"/>
  <c r="AE2" i="15"/>
  <c r="AD2" i="15"/>
  <c r="AC2" i="15"/>
  <c r="AB2" i="15"/>
  <c r="AA2" i="15"/>
  <c r="Z2" i="15"/>
  <c r="Y2" i="15"/>
  <c r="X2" i="15"/>
  <c r="W2" i="15"/>
  <c r="W3" i="15" s="1"/>
  <c r="V2" i="15"/>
  <c r="U2" i="15"/>
  <c r="F1" i="15" a="1"/>
  <c r="F1" i="15" s="1"/>
  <c r="Q18" i="14"/>
  <c r="G17" i="14"/>
  <c r="C17" i="14"/>
  <c r="B17" i="14"/>
  <c r="C15" i="14"/>
  <c r="B15" i="14"/>
  <c r="K14" i="14"/>
  <c r="AE3" i="14" s="1"/>
  <c r="J14" i="14"/>
  <c r="AD3" i="14" s="1"/>
  <c r="I14" i="14"/>
  <c r="H14" i="14"/>
  <c r="AB3" i="14" s="1"/>
  <c r="C14" i="14"/>
  <c r="B14" i="14"/>
  <c r="C13" i="14"/>
  <c r="B13" i="14"/>
  <c r="C12" i="14"/>
  <c r="C18" i="14" s="1"/>
  <c r="B12" i="14"/>
  <c r="B18" i="14" s="1"/>
  <c r="J9" i="14"/>
  <c r="L9" i="14" s="1"/>
  <c r="K8" i="14"/>
  <c r="J8" i="14"/>
  <c r="I8" i="14"/>
  <c r="K7" i="14"/>
  <c r="J7" i="14"/>
  <c r="I7" i="14"/>
  <c r="U6" i="14"/>
  <c r="K6" i="14" s="1"/>
  <c r="C5" i="14"/>
  <c r="B5" i="14"/>
  <c r="D4" i="14"/>
  <c r="C4" i="14"/>
  <c r="B4" i="14"/>
  <c r="AO3" i="14" a="1"/>
  <c r="AO3" i="14" s="1"/>
  <c r="AI2" i="14" a="1"/>
  <c r="AI2" i="14" s="1"/>
  <c r="AH2" i="14"/>
  <c r="AG2" i="14"/>
  <c r="AE2" i="14"/>
  <c r="AD2" i="14"/>
  <c r="AC2" i="14"/>
  <c r="AB2" i="14"/>
  <c r="AA2" i="14"/>
  <c r="Z2" i="14"/>
  <c r="Y2" i="14"/>
  <c r="X2" i="14"/>
  <c r="W2" i="14"/>
  <c r="W3" i="14" s="1"/>
  <c r="V2" i="14"/>
  <c r="U2" i="14"/>
  <c r="F1" i="14" a="1"/>
  <c r="F1" i="14" s="1"/>
  <c r="K8" i="10"/>
  <c r="J8" i="10"/>
  <c r="I8" i="10"/>
  <c r="K7" i="10"/>
  <c r="J7" i="10"/>
  <c r="I7" i="10"/>
  <c r="U6" i="10"/>
  <c r="K6" i="10" s="1"/>
  <c r="I6" i="10" s="1"/>
  <c r="W6" i="15" a="1"/>
  <c r="X6" i="15" a="1"/>
  <c r="X6" i="14" a="1"/>
  <c r="W6" i="14" a="1"/>
  <c r="W6" i="10" a="1"/>
  <c r="X6" i="10" a="1"/>
  <c r="J6" i="15" l="1"/>
  <c r="H7" i="15"/>
  <c r="H15" i="15"/>
  <c r="AF3" i="15" s="1"/>
  <c r="L9" i="15"/>
  <c r="H8" i="15"/>
  <c r="AF2" i="15"/>
  <c r="X6" i="15"/>
  <c r="W6" i="15"/>
  <c r="AC3" i="15"/>
  <c r="I6" i="15"/>
  <c r="L8" i="15"/>
  <c r="L7" i="15"/>
  <c r="AF2" i="14"/>
  <c r="J6" i="14"/>
  <c r="L8" i="14"/>
  <c r="H7" i="14"/>
  <c r="I6" i="14"/>
  <c r="H15" i="14"/>
  <c r="AF3" i="14" s="1"/>
  <c r="H8" i="14"/>
  <c r="W6" i="14"/>
  <c r="X6" i="14"/>
  <c r="L7" i="14"/>
  <c r="H9" i="14"/>
  <c r="AC3" i="14"/>
  <c r="W6" i="10"/>
  <c r="H7" i="10"/>
  <c r="J6" i="10"/>
  <c r="H6" i="10" s="1"/>
  <c r="X6" i="10"/>
  <c r="J9" i="10"/>
  <c r="L8" i="10"/>
  <c r="Q18" i="10"/>
  <c r="G17" i="10"/>
  <c r="C17" i="10"/>
  <c r="B17" i="10"/>
  <c r="C15" i="10"/>
  <c r="B15" i="10"/>
  <c r="K14" i="10"/>
  <c r="AE3" i="10" s="1"/>
  <c r="J14" i="10"/>
  <c r="AD3" i="10" s="1"/>
  <c r="I14" i="10"/>
  <c r="H14" i="10"/>
  <c r="AF2" i="10" s="1"/>
  <c r="C14" i="10"/>
  <c r="B14" i="10"/>
  <c r="C13" i="10"/>
  <c r="B13" i="10"/>
  <c r="C12" i="10"/>
  <c r="C18" i="10" s="1"/>
  <c r="B12" i="10"/>
  <c r="B18" i="10" s="1"/>
  <c r="D4" i="10"/>
  <c r="C4" i="10"/>
  <c r="C5" i="10" s="1"/>
  <c r="B4" i="10"/>
  <c r="B5" i="10" s="1"/>
  <c r="AI2" i="10" a="1"/>
  <c r="AI2" i="10" s="1"/>
  <c r="AH2" i="10"/>
  <c r="AG2" i="10"/>
  <c r="AE2" i="10"/>
  <c r="AD2" i="10"/>
  <c r="AC2" i="10"/>
  <c r="AB2" i="10"/>
  <c r="AA2" i="10"/>
  <c r="Z2" i="10"/>
  <c r="Y2" i="10"/>
  <c r="X2" i="10"/>
  <c r="W2" i="10"/>
  <c r="W3" i="10" s="1"/>
  <c r="V2" i="10"/>
  <c r="U2" i="10"/>
  <c r="F1" i="10" a="1"/>
  <c r="F1" i="10" s="1"/>
  <c r="L6" i="15" l="1"/>
  <c r="H6" i="15"/>
  <c r="L6" i="14"/>
  <c r="H6" i="14"/>
  <c r="L9" i="10"/>
  <c r="H9" i="10"/>
  <c r="H8" i="10"/>
  <c r="L6" i="10"/>
  <c r="AB3" i="10"/>
  <c r="H15" i="10"/>
  <c r="AF3" i="10" s="1"/>
  <c r="AC3" i="10"/>
  <c r="P27" i="7" l="1"/>
  <c r="N26" i="7"/>
  <c r="N17" i="7"/>
  <c r="Q14" i="7"/>
  <c r="P22" i="7"/>
  <c r="M23" i="7"/>
  <c r="O20" i="7"/>
  <c r="Q28" i="7"/>
  <c r="R24" i="7"/>
  <c r="O19" i="7"/>
  <c r="O13" i="7"/>
  <c r="N25" i="7"/>
  <c r="Q21" i="7"/>
  <c r="Q16" i="7"/>
  <c r="R12" i="7"/>
  <c r="H25" i="7" l="1"/>
  <c r="K20" i="7"/>
  <c r="K22" i="7"/>
  <c r="Q19" i="7"/>
  <c r="N19" i="7"/>
  <c r="Q12" i="7"/>
  <c r="N12" i="7"/>
  <c r="O27" i="7"/>
  <c r="O22" i="7"/>
  <c r="K26" i="7"/>
  <c r="M24" i="7"/>
  <c r="S18" i="7"/>
  <c r="K28" i="7"/>
  <c r="S20" i="7"/>
  <c r="P20" i="7"/>
  <c r="R19" i="7"/>
  <c r="H14" i="7"/>
  <c r="P12" i="7"/>
  <c r="M12" i="7"/>
  <c r="S27" i="7"/>
  <c r="R27" i="7"/>
  <c r="N15" i="7"/>
  <c r="Q15" i="7"/>
  <c r="R13" i="7"/>
  <c r="S22" i="7"/>
  <c r="O17" i="7"/>
  <c r="M16" i="7"/>
  <c r="P11" i="7"/>
  <c r="M11" i="7"/>
  <c r="P23" i="7"/>
  <c r="S23" i="7"/>
  <c r="O21" i="7"/>
  <c r="R26" i="7"/>
  <c r="P24" i="7"/>
  <c r="S24" i="7"/>
  <c r="O18" i="7"/>
  <c r="O28" i="7"/>
  <c r="R28" i="7"/>
  <c r="N20" i="7"/>
  <c r="M19" i="7"/>
  <c r="R14" i="7"/>
  <c r="O14" i="7"/>
  <c r="H12" i="7"/>
  <c r="S12" i="7"/>
  <c r="N27" i="7"/>
  <c r="O25" i="7"/>
  <c r="M13" i="7"/>
  <c r="N22" i="7"/>
  <c r="Q22" i="7"/>
  <c r="R17" i="7"/>
  <c r="O16" i="7"/>
  <c r="K16" i="7"/>
  <c r="S11" i="7"/>
  <c r="M21" i="7"/>
  <c r="K21" i="7"/>
  <c r="Q26" i="7"/>
  <c r="O26" i="7"/>
  <c r="O24" i="7"/>
  <c r="Q18" i="7"/>
  <c r="N18" i="7"/>
  <c r="Q20" i="7"/>
  <c r="J19" i="7"/>
  <c r="S19" i="7"/>
  <c r="M14" i="7"/>
  <c r="J14" i="7"/>
  <c r="O12" i="7"/>
  <c r="Q27" i="7"/>
  <c r="R25" i="7"/>
  <c r="O15" i="7"/>
  <c r="S13" i="7"/>
  <c r="H22" i="7"/>
  <c r="M22" i="7"/>
  <c r="P17" i="7"/>
  <c r="M17" i="7"/>
  <c r="R16" i="7"/>
  <c r="Q11" i="7"/>
  <c r="H23" i="7"/>
  <c r="Q23" i="7"/>
  <c r="S21" i="7"/>
  <c r="I21" i="7"/>
  <c r="M26" i="7"/>
  <c r="Q24" i="7"/>
  <c r="N24" i="7"/>
  <c r="M28" i="7"/>
  <c r="P28" i="7"/>
  <c r="S14" i="7"/>
  <c r="P25" i="7"/>
  <c r="M25" i="7"/>
  <c r="M15" i="7"/>
  <c r="Q13" i="7"/>
  <c r="N13" i="7"/>
  <c r="J17" i="7"/>
  <c r="S17" i="7"/>
  <c r="P16" i="7"/>
  <c r="N11" i="7"/>
  <c r="O23" i="7"/>
  <c r="K23" i="7"/>
  <c r="R21" i="7"/>
  <c r="P21" i="7"/>
  <c r="S26" i="7"/>
  <c r="P26" i="7"/>
  <c r="K24" i="7"/>
  <c r="R18" i="7"/>
  <c r="N28" i="7"/>
  <c r="R20" i="7"/>
  <c r="P19" i="7"/>
  <c r="N14" i="7"/>
  <c r="P14" i="7"/>
  <c r="K12" i="7"/>
  <c r="I27" i="7"/>
  <c r="S25" i="7"/>
  <c r="S15" i="7"/>
  <c r="P15" i="7"/>
  <c r="P13" i="7"/>
  <c r="H13" i="7"/>
  <c r="R22" i="7"/>
  <c r="Q17" i="7"/>
  <c r="S16" i="7"/>
  <c r="O11" i="7"/>
  <c r="K11" i="7"/>
  <c r="N23" i="7"/>
  <c r="R23" i="7"/>
  <c r="N21" i="7"/>
  <c r="P18" i="7"/>
  <c r="M18" i="7"/>
  <c r="S28" i="7"/>
  <c r="M20" i="7"/>
  <c r="M27" i="7"/>
  <c r="Q25" i="7"/>
  <c r="R15" i="7"/>
  <c r="K13" i="7"/>
  <c r="H17" i="7"/>
  <c r="N16" i="7"/>
  <c r="R11" i="7"/>
  <c r="J18" i="7"/>
  <c r="H27" i="7"/>
  <c r="H20" i="7"/>
  <c r="I23" i="7"/>
  <c r="I16" i="7"/>
  <c r="I28" i="7"/>
  <c r="I26" i="7"/>
  <c r="I20" i="7"/>
  <c r="I22" i="7"/>
  <c r="I12" i="7"/>
  <c r="I24" i="7"/>
  <c r="I17" i="7" l="1"/>
  <c r="J11" i="7"/>
  <c r="I11" i="7"/>
  <c r="H24" i="7"/>
  <c r="I19" i="7"/>
  <c r="H11" i="7"/>
  <c r="I15" i="7"/>
  <c r="H18" i="7"/>
  <c r="J28" i="7"/>
  <c r="L28" i="7" s="1"/>
  <c r="J26" i="7"/>
  <c r="L26" i="7" s="1"/>
  <c r="J23" i="7"/>
  <c r="L23" i="7" s="1"/>
  <c r="J13" i="7"/>
  <c r="J24" i="7"/>
  <c r="L24" i="7" s="1"/>
  <c r="K25" i="7"/>
  <c r="J25" i="7"/>
  <c r="H19" i="7"/>
  <c r="K18" i="7"/>
  <c r="J12" i="7"/>
  <c r="L12" i="7" s="1"/>
  <c r="J27" i="7"/>
  <c r="H16" i="7"/>
  <c r="I18" i="7"/>
  <c r="K15" i="7"/>
  <c r="K17" i="7"/>
  <c r="H21" i="7"/>
  <c r="K19" i="7"/>
  <c r="J21" i="7"/>
  <c r="L21" i="7" s="1"/>
  <c r="J16" i="7"/>
  <c r="L16" i="7" s="1"/>
  <c r="K27" i="7"/>
  <c r="J20" i="7"/>
  <c r="L20" i="7" s="1"/>
  <c r="I14" i="7"/>
  <c r="I13" i="7"/>
  <c r="H28" i="7"/>
  <c r="J15" i="7"/>
  <c r="H15" i="7"/>
  <c r="H26" i="7"/>
  <c r="J22" i="7"/>
  <c r="L22" i="7" s="1"/>
  <c r="I25" i="7"/>
  <c r="K14" i="7"/>
  <c r="L17" i="7" l="1"/>
  <c r="L11" i="7"/>
  <c r="L25" i="7"/>
  <c r="L13" i="7"/>
  <c r="L19" i="7"/>
  <c r="L27" i="7"/>
  <c r="L14" i="7"/>
  <c r="L15" i="7"/>
  <c r="L18" i="7"/>
  <c r="AI2" i="7" l="1" a="1"/>
  <c r="AI2" i="7" s="1"/>
  <c r="AX4" i="8" a="1"/>
  <c r="AX4" i="8" s="1"/>
  <c r="AG2" i="7"/>
  <c r="F1" i="7" a="1"/>
  <c r="F1" i="7" s="1"/>
  <c r="O10" i="7"/>
  <c r="N10" i="7"/>
  <c r="O9" i="7"/>
  <c r="N9" i="7"/>
  <c r="O8" i="7"/>
  <c r="N8" i="7"/>
  <c r="O7" i="7"/>
  <c r="N7" i="7"/>
  <c r="AO3" i="7" a="1"/>
  <c r="AO3" i="7" s="1"/>
  <c r="B30" i="7"/>
  <c r="B36" i="7" s="1"/>
  <c r="C30" i="7"/>
  <c r="C36" i="7" s="1"/>
  <c r="B31" i="7"/>
  <c r="C31" i="7"/>
  <c r="B32" i="7"/>
  <c r="C32" i="7"/>
  <c r="B33" i="7"/>
  <c r="C33" i="7"/>
  <c r="B35" i="7"/>
  <c r="C35" i="7"/>
  <c r="G35" i="7"/>
  <c r="W2" i="7"/>
  <c r="W3" i="7" s="1"/>
  <c r="AH2" i="7"/>
  <c r="AB2" i="7"/>
  <c r="AC2" i="7"/>
  <c r="AD2" i="7"/>
  <c r="AE2" i="7"/>
  <c r="AA2" i="7"/>
  <c r="Z2" i="7"/>
  <c r="V2" i="7"/>
  <c r="X2" i="7"/>
  <c r="Y2" i="7"/>
  <c r="U2" i="7"/>
  <c r="BA90" i="8" a="1"/>
  <c r="BA93" i="8" a="1"/>
  <c r="BA96" i="8" a="1"/>
  <c r="BA99" i="8" a="1"/>
  <c r="BA102" i="8" a="1"/>
  <c r="BA105" i="8" a="1"/>
  <c r="BA108" i="8" a="1"/>
  <c r="BA111" i="8" a="1"/>
  <c r="BA114" i="8" a="1"/>
  <c r="BA117" i="8" a="1"/>
  <c r="BA120" i="8" a="1"/>
  <c r="BA123" i="8" a="1"/>
  <c r="BA126" i="8" a="1"/>
  <c r="BA129" i="8" a="1"/>
  <c r="BA132" i="8" a="1"/>
  <c r="BA135" i="8" a="1"/>
  <c r="BA138" i="8" a="1"/>
  <c r="BA141" i="8" a="1"/>
  <c r="BA144" i="8" a="1"/>
  <c r="BA147" i="8" a="1"/>
  <c r="BA150" i="8" a="1"/>
  <c r="BA153" i="8" a="1"/>
  <c r="BA156" i="8" a="1"/>
  <c r="BA159" i="8" a="1"/>
  <c r="BA162" i="8" a="1"/>
  <c r="BA165" i="8" a="1"/>
  <c r="BA168" i="8" a="1"/>
  <c r="BA171" i="8" a="1"/>
  <c r="BA174" i="8" a="1"/>
  <c r="BA89" i="8" a="1"/>
  <c r="BA92" i="8" a="1"/>
  <c r="BA95" i="8" a="1"/>
  <c r="BA98" i="8" a="1"/>
  <c r="BA101" i="8" a="1"/>
  <c r="BA104" i="8" a="1"/>
  <c r="BA107" i="8" a="1"/>
  <c r="BA110" i="8" a="1"/>
  <c r="BA113" i="8" a="1"/>
  <c r="BA116" i="8" a="1"/>
  <c r="BA119" i="8" a="1"/>
  <c r="BA122" i="8" a="1"/>
  <c r="BA125" i="8" a="1"/>
  <c r="BA128" i="8" a="1"/>
  <c r="BA131" i="8" a="1"/>
  <c r="BA134" i="8" a="1"/>
  <c r="BA137" i="8" a="1"/>
  <c r="BA140" i="8" a="1"/>
  <c r="BA143" i="8" a="1"/>
  <c r="BA146" i="8" a="1"/>
  <c r="BA149" i="8" a="1"/>
  <c r="BA152" i="8" a="1"/>
  <c r="BA155" i="8" a="1"/>
  <c r="BA158" i="8" a="1"/>
  <c r="BA161" i="8" a="1"/>
  <c r="BA164" i="8" a="1"/>
  <c r="BA167" i="8" a="1"/>
  <c r="BA170" i="8" a="1"/>
  <c r="BA173" i="8" a="1"/>
  <c r="BA97" i="8" a="1"/>
  <c r="BA100" i="8" a="1"/>
  <c r="BA115" i="8" a="1"/>
  <c r="BA124" i="8" a="1"/>
  <c r="BA133" i="8" a="1"/>
  <c r="BA142" i="8" a="1"/>
  <c r="BA151" i="8" a="1"/>
  <c r="BA160" i="8" a="1"/>
  <c r="BA169" i="8" a="1"/>
  <c r="BA103" i="8" a="1"/>
  <c r="BA112" i="8" a="1"/>
  <c r="BA157" i="8" a="1"/>
  <c r="BA106" i="8" a="1"/>
  <c r="BA118" i="8" a="1"/>
  <c r="BA127" i="8" a="1"/>
  <c r="BA136" i="8" a="1"/>
  <c r="BA145" i="8" a="1"/>
  <c r="BA154" i="8" a="1"/>
  <c r="BA163" i="8" a="1"/>
  <c r="BA172" i="8" a="1"/>
  <c r="BA91" i="8" a="1"/>
  <c r="BA109" i="8" a="1"/>
  <c r="BA94" i="8" a="1"/>
  <c r="BA121" i="8" a="1"/>
  <c r="BA130" i="8" a="1"/>
  <c r="BA139" i="8" a="1"/>
  <c r="BA148" i="8" a="1"/>
  <c r="BA166" i="8" a="1"/>
  <c r="BA175" i="8" a="1"/>
  <c r="BA54" i="8" a="1"/>
  <c r="BA25" i="8" a="1"/>
  <c r="BA28" i="8" a="1"/>
  <c r="BA31" i="8" a="1"/>
  <c r="BA34" i="8" a="1"/>
  <c r="BA37" i="8" a="1"/>
  <c r="BA40" i="8" a="1"/>
  <c r="BA43" i="8" a="1"/>
  <c r="BA46" i="8" a="1"/>
  <c r="BA49" i="8" a="1"/>
  <c r="BA52" i="8" a="1"/>
  <c r="BA55" i="8" a="1"/>
  <c r="BA58" i="8" a="1"/>
  <c r="BA61" i="8" a="1"/>
  <c r="BA64" i="8" a="1"/>
  <c r="BA67" i="8" a="1"/>
  <c r="BA70" i="8" a="1"/>
  <c r="BA73" i="8" a="1"/>
  <c r="BA76" i="8" a="1"/>
  <c r="BA79" i="8" a="1"/>
  <c r="BA82" i="8" a="1"/>
  <c r="BA85" i="8" a="1"/>
  <c r="BA88" i="8" a="1"/>
  <c r="BA29" i="8" a="1"/>
  <c r="BA32" i="8" a="1"/>
  <c r="BA35" i="8" a="1"/>
  <c r="BA38" i="8" a="1"/>
  <c r="BA41" i="8" a="1"/>
  <c r="BA44" i="8" a="1"/>
  <c r="BA47" i="8" a="1"/>
  <c r="BA50" i="8" a="1"/>
  <c r="BA53" i="8" a="1"/>
  <c r="BA62" i="8" a="1"/>
  <c r="BA65" i="8" a="1"/>
  <c r="BA68" i="8" a="1"/>
  <c r="BA74" i="8" a="1"/>
  <c r="BA77" i="8" a="1"/>
  <c r="BA80" i="8" a="1"/>
  <c r="BA83" i="8" a="1"/>
  <c r="BA86" i="8" a="1"/>
  <c r="BA56" i="8" a="1"/>
  <c r="BA71" i="8" a="1"/>
  <c r="BA59" i="8" a="1"/>
  <c r="BA26" i="8" a="1"/>
  <c r="BA24" i="8" a="1"/>
  <c r="BA27" i="8" a="1"/>
  <c r="BA30" i="8" a="1"/>
  <c r="BA33" i="8" a="1"/>
  <c r="BA36" i="8" a="1"/>
  <c r="BA39" i="8" a="1"/>
  <c r="BA42" i="8" a="1"/>
  <c r="BA45" i="8" a="1"/>
  <c r="BA48" i="8" a="1"/>
  <c r="BA51" i="8" a="1"/>
  <c r="BA57" i="8" a="1"/>
  <c r="BA60" i="8" a="1"/>
  <c r="BA63" i="8" a="1"/>
  <c r="BA66" i="8" a="1"/>
  <c r="BA69" i="8" a="1"/>
  <c r="BA72" i="8" a="1"/>
  <c r="BA75" i="8" a="1"/>
  <c r="BA78" i="8" a="1"/>
  <c r="BA81" i="8" a="1"/>
  <c r="BA84" i="8" a="1"/>
  <c r="BA87" i="8" a="1"/>
  <c r="BA5" i="8" a="1"/>
  <c r="BA8" i="8" a="1"/>
  <c r="BA11" i="8" a="1"/>
  <c r="BA14" i="8" a="1"/>
  <c r="BA17" i="8" a="1"/>
  <c r="BA20" i="8" a="1"/>
  <c r="BA23" i="8" a="1"/>
  <c r="BA6" i="8" a="1"/>
  <c r="BA9" i="8" a="1"/>
  <c r="BA12" i="8" a="1"/>
  <c r="BA15" i="8" a="1"/>
  <c r="BA18" i="8" a="1"/>
  <c r="BA21" i="8" a="1"/>
  <c r="BA7" i="8" a="1"/>
  <c r="BA10" i="8" a="1"/>
  <c r="BA13" i="8" a="1"/>
  <c r="BA16" i="8" a="1"/>
  <c r="BA19" i="8" a="1"/>
  <c r="BA22" i="8" a="1"/>
  <c r="BA4" i="8" a="1"/>
  <c r="BA175" i="8" l="1"/>
  <c r="BA166" i="8"/>
  <c r="BA148" i="8"/>
  <c r="BA139" i="8"/>
  <c r="BA130" i="8"/>
  <c r="BA121" i="8"/>
  <c r="BA94" i="8"/>
  <c r="BA109" i="8"/>
  <c r="BA91" i="8"/>
  <c r="BA172" i="8"/>
  <c r="BA163" i="8"/>
  <c r="BA154" i="8"/>
  <c r="BA145" i="8"/>
  <c r="BA136" i="8"/>
  <c r="BA127" i="8"/>
  <c r="BA118" i="8"/>
  <c r="BA106" i="8"/>
  <c r="BA157" i="8"/>
  <c r="BA112" i="8"/>
  <c r="BA103" i="8"/>
  <c r="BA169" i="8"/>
  <c r="BA160" i="8"/>
  <c r="BA151" i="8"/>
  <c r="BA142" i="8"/>
  <c r="BA133" i="8"/>
  <c r="BA124" i="8"/>
  <c r="BA115" i="8"/>
  <c r="BA100" i="8"/>
  <c r="BA97" i="8"/>
  <c r="BA173" i="8"/>
  <c r="BA170" i="8"/>
  <c r="BA167" i="8"/>
  <c r="BA164" i="8"/>
  <c r="BA161" i="8"/>
  <c r="BA158" i="8"/>
  <c r="BA155" i="8"/>
  <c r="BA152" i="8"/>
  <c r="BA149" i="8"/>
  <c r="BA146" i="8"/>
  <c r="BA143" i="8"/>
  <c r="BA140" i="8"/>
  <c r="BA137" i="8"/>
  <c r="BA134" i="8"/>
  <c r="BA131" i="8"/>
  <c r="BA128" i="8"/>
  <c r="BA125" i="8"/>
  <c r="BA122" i="8"/>
  <c r="BA119" i="8"/>
  <c r="BA116" i="8"/>
  <c r="BA113" i="8"/>
  <c r="BA110" i="8"/>
  <c r="BA107" i="8"/>
  <c r="BA104" i="8"/>
  <c r="BA101" i="8"/>
  <c r="BA98" i="8"/>
  <c r="BA95" i="8"/>
  <c r="BA92" i="8"/>
  <c r="BA89" i="8"/>
  <c r="BA174" i="8"/>
  <c r="BA171" i="8"/>
  <c r="BA168" i="8"/>
  <c r="BA165" i="8"/>
  <c r="BA162" i="8"/>
  <c r="BA159" i="8"/>
  <c r="BA156" i="8"/>
  <c r="BA153" i="8"/>
  <c r="BA150" i="8"/>
  <c r="BA147" i="8"/>
  <c r="BA144" i="8"/>
  <c r="BA141" i="8"/>
  <c r="BA138" i="8"/>
  <c r="BA135" i="8"/>
  <c r="BA132" i="8"/>
  <c r="BA129" i="8"/>
  <c r="BA126" i="8"/>
  <c r="BA123" i="8"/>
  <c r="BA120" i="8"/>
  <c r="BA117" i="8"/>
  <c r="BA114" i="8"/>
  <c r="BA111" i="8"/>
  <c r="BA108" i="8"/>
  <c r="BA105" i="8"/>
  <c r="BA102" i="8"/>
  <c r="BA99" i="8"/>
  <c r="BA96" i="8"/>
  <c r="BA93" i="8"/>
  <c r="BA90" i="8"/>
  <c r="BA87" i="8"/>
  <c r="BA84" i="8"/>
  <c r="BA81" i="8"/>
  <c r="BA78" i="8"/>
  <c r="BA75" i="8"/>
  <c r="BA72" i="8"/>
  <c r="BA69" i="8"/>
  <c r="BA66" i="8"/>
  <c r="BA63" i="8"/>
  <c r="BA60" i="8"/>
  <c r="BA57" i="8"/>
  <c r="BA51" i="8"/>
  <c r="BA48" i="8"/>
  <c r="BA45" i="8"/>
  <c r="BA42" i="8"/>
  <c r="BA39" i="8"/>
  <c r="BA36" i="8"/>
  <c r="BA33" i="8"/>
  <c r="BA30" i="8"/>
  <c r="BA27" i="8"/>
  <c r="BA24" i="8"/>
  <c r="BA26" i="8"/>
  <c r="BA59" i="8"/>
  <c r="BA71" i="8"/>
  <c r="BA56" i="8"/>
  <c r="BA86" i="8"/>
  <c r="BA83" i="8"/>
  <c r="BA80" i="8"/>
  <c r="BA77" i="8"/>
  <c r="BA74" i="8"/>
  <c r="BA68" i="8"/>
  <c r="BA65" i="8"/>
  <c r="BA62" i="8"/>
  <c r="BA53" i="8"/>
  <c r="BA50" i="8"/>
  <c r="BA47" i="8"/>
  <c r="BA44" i="8"/>
  <c r="BA41" i="8"/>
  <c r="BA38" i="8"/>
  <c r="BA35" i="8"/>
  <c r="BA32" i="8"/>
  <c r="BA29" i="8"/>
  <c r="BA88" i="8"/>
  <c r="BA85" i="8"/>
  <c r="BA82" i="8"/>
  <c r="BA79" i="8"/>
  <c r="BA76" i="8"/>
  <c r="BA73" i="8"/>
  <c r="BA70" i="8"/>
  <c r="BA67" i="8"/>
  <c r="BA64" i="8"/>
  <c r="BA61" i="8"/>
  <c r="BA58" i="8"/>
  <c r="BA55" i="8"/>
  <c r="BA52" i="8"/>
  <c r="BA49" i="8"/>
  <c r="BA46" i="8"/>
  <c r="BA43" i="8"/>
  <c r="BA40" i="8"/>
  <c r="BA37" i="8"/>
  <c r="BA34" i="8"/>
  <c r="BA31" i="8"/>
  <c r="BA28" i="8"/>
  <c r="BA25" i="8"/>
  <c r="BA54" i="8"/>
  <c r="BA22" i="8"/>
  <c r="BA19" i="8"/>
  <c r="BA16" i="8"/>
  <c r="BA13" i="8"/>
  <c r="BA10" i="8"/>
  <c r="BA7" i="8"/>
  <c r="BA21" i="8"/>
  <c r="BA18" i="8"/>
  <c r="BA15" i="8"/>
  <c r="BA12" i="8"/>
  <c r="BA9" i="8"/>
  <c r="BA6" i="8"/>
  <c r="BA23" i="8"/>
  <c r="BA20" i="8"/>
  <c r="BA17" i="8"/>
  <c r="BA14" i="8"/>
  <c r="BA11" i="8"/>
  <c r="BA8" i="8"/>
  <c r="BA5" i="8"/>
  <c r="BA4" i="8"/>
  <c r="O6" i="7" l="1"/>
  <c r="N6" i="7"/>
  <c r="E34" i="8" l="1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AJ10" i="8"/>
  <c r="E10" i="8"/>
  <c r="AJ9" i="8"/>
  <c r="E9" i="8"/>
  <c r="AJ8" i="8"/>
  <c r="E8" i="8"/>
  <c r="AJ7" i="8"/>
  <c r="E7" i="8"/>
  <c r="AJ6" i="8"/>
  <c r="E6" i="8"/>
  <c r="AJ5" i="8"/>
  <c r="E5" i="8"/>
  <c r="AJ4" i="8"/>
  <c r="E4" i="8"/>
  <c r="E3" i="8"/>
  <c r="Q36" i="7" l="1"/>
  <c r="D4" i="7"/>
  <c r="B4" i="7" l="1"/>
  <c r="B5" i="7" s="1"/>
  <c r="C4" i="7"/>
  <c r="C5" i="7" s="1"/>
  <c r="C9" i="7" l="1"/>
  <c r="C10" i="7"/>
  <c r="C8" i="7"/>
  <c r="B9" i="7"/>
  <c r="B8" i="7"/>
  <c r="B10" i="7"/>
  <c r="B7" i="7"/>
  <c r="C7" i="7"/>
  <c r="C6" i="7"/>
  <c r="B6" i="7"/>
  <c r="J32" i="7"/>
  <c r="AD3" i="7" s="1"/>
  <c r="I32" i="7"/>
  <c r="AC3" i="7" s="1"/>
  <c r="K32" i="7"/>
  <c r="AE3" i="7" s="1"/>
  <c r="H32" i="7" l="1"/>
  <c r="H33" i="7"/>
  <c r="AF3" i="7" s="1"/>
  <c r="AB3" i="7" l="1"/>
  <c r="AF2" i="7"/>
  <c r="L7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<sst xmlns="http://schemas.openxmlformats.org/spreadsheetml/2006/main" count="739" uniqueCount="295">
  <si>
    <t>STT</t>
  </si>
  <si>
    <t>BLOCK LOCATION</t>
  </si>
  <si>
    <t>X</t>
  </si>
  <si>
    <t>Y</t>
  </si>
  <si>
    <t>PANEL</t>
  </si>
  <si>
    <t>BMS</t>
  </si>
  <si>
    <t>MCB</t>
  </si>
  <si>
    <t>RCD</t>
  </si>
  <si>
    <t>VSD</t>
  </si>
  <si>
    <t>DOL</t>
  </si>
  <si>
    <t>STAR-DELTA</t>
  </si>
  <si>
    <t>NAME BLOCK</t>
  </si>
  <si>
    <t>CÔNG SUẤT TRÊN PHA
RATE POWER (VA)</t>
  </si>
  <si>
    <t>Full</t>
  </si>
  <si>
    <t>R</t>
  </si>
  <si>
    <t>B</t>
  </si>
  <si>
    <t>LOẠI
TYPE</t>
  </si>
  <si>
    <t>SỐ CỰC
POLE (P)</t>
  </si>
  <si>
    <t>CS NM
ISC (kA)</t>
  </si>
  <si>
    <t>DÂY PHA
PHASE (mm²)</t>
  </si>
  <si>
    <t>MCCB</t>
  </si>
  <si>
    <t>3P</t>
  </si>
  <si>
    <t>50A</t>
  </si>
  <si>
    <t>18kA</t>
  </si>
  <si>
    <t>LỘ VÀO
INCOMMING</t>
  </si>
  <si>
    <t>THIẾT BỊ BẢO VỆ TỔNG
MAIN CIRCUIT BRAKER</t>
  </si>
  <si>
    <t>CÁP ĐIỆN/ THANH DẪN TỔNG
INCOMMING CABLE/ BUSDUCT</t>
  </si>
  <si>
    <t>GIẢI PHÁP LẮP ĐẶT
INSTALLATION METHOD</t>
  </si>
  <si>
    <t>63A</t>
  </si>
  <si>
    <t>15kA</t>
  </si>
  <si>
    <t>4x(1Cx16) Cu/XLPE/PVC</t>
  </si>
  <si>
    <t>(1Cx16) Cu/PVC</t>
  </si>
  <si>
    <t>IN CABLE TRAY</t>
  </si>
  <si>
    <t>NOTE</t>
  </si>
  <si>
    <t>1P</t>
  </si>
  <si>
    <t>16A</t>
  </si>
  <si>
    <t>6kA</t>
  </si>
  <si>
    <t>RCBO (30mA)</t>
  </si>
  <si>
    <t>1P+N</t>
  </si>
  <si>
    <t>25A</t>
  </si>
  <si>
    <t>6</t>
  </si>
  <si>
    <t>16</t>
  </si>
  <si>
    <t>SOF</t>
  </si>
  <si>
    <t>Spec. Cable</t>
  </si>
  <si>
    <t>Rated current of the
Protective Device
(A)</t>
  </si>
  <si>
    <t>Cross-sention area of phase conductors of the installation
S(mm²)</t>
  </si>
  <si>
    <t>PE (mm²)</t>
  </si>
  <si>
    <t>CB_Rating</t>
  </si>
  <si>
    <t>CB_Pole</t>
  </si>
  <si>
    <t>CB_Isc</t>
  </si>
  <si>
    <t>CB_Type</t>
  </si>
  <si>
    <t>_OnPhase</t>
  </si>
  <si>
    <t>TIẾT DIỆN</t>
  </si>
  <si>
    <t>CU/PVC</t>
  </si>
  <si>
    <t>CU/XLPE/PVC</t>
  </si>
  <si>
    <t>Cu/Mica/XLPE/FR-PVC</t>
  </si>
  <si>
    <t>Cu/Mica/XLPE/LSZH</t>
  </si>
  <si>
    <t>CU/PVC/PVC</t>
  </si>
  <si>
    <t>TÊN</t>
  </si>
  <si>
    <t>Đường kính trong ống</t>
  </si>
  <si>
    <t>ỐNG LUỒN DÂY PVC</t>
  </si>
  <si>
    <t>ỐNG LUỒN DÂY HDPE</t>
  </si>
  <si>
    <t>10A</t>
  </si>
  <si>
    <t>1C</t>
  </si>
  <si>
    <t>D20</t>
  </si>
  <si>
    <t>17.2</t>
  </si>
  <si>
    <t>Đường kính ngoài
(mm)</t>
  </si>
  <si>
    <t>Độ dày ống
(mm)</t>
  </si>
  <si>
    <t>Đường kính trong
(mm)</t>
  </si>
  <si>
    <t>LoẠI ống</t>
  </si>
  <si>
    <t>Ghi chú</t>
  </si>
  <si>
    <t>D25</t>
  </si>
  <si>
    <t>22</t>
  </si>
  <si>
    <t>32/25</t>
  </si>
  <si>
    <t>20A</t>
  </si>
  <si>
    <t>4.0</t>
  </si>
  <si>
    <t>2P</t>
  </si>
  <si>
    <t>10kA</t>
  </si>
  <si>
    <t>D32</t>
  </si>
  <si>
    <t>28.3</t>
  </si>
  <si>
    <t>40/30</t>
  </si>
  <si>
    <t>ACB</t>
  </si>
  <si>
    <t>D40</t>
  </si>
  <si>
    <t>35.8</t>
  </si>
  <si>
    <t>50/40</t>
  </si>
  <si>
    <t>32A</t>
  </si>
  <si>
    <t>4P</t>
  </si>
  <si>
    <t>D50</t>
  </si>
  <si>
    <t>45.2</t>
  </si>
  <si>
    <t>65/50</t>
  </si>
  <si>
    <t>40A</t>
  </si>
  <si>
    <t>25kA</t>
  </si>
  <si>
    <t>D63</t>
  </si>
  <si>
    <t>57</t>
  </si>
  <si>
    <t>85/65</t>
  </si>
  <si>
    <t>36kA</t>
  </si>
  <si>
    <t>105/80</t>
  </si>
  <si>
    <t>48kA</t>
  </si>
  <si>
    <t>130/100</t>
  </si>
  <si>
    <t>80A</t>
  </si>
  <si>
    <t>50kA</t>
  </si>
  <si>
    <t>160/125</t>
  </si>
  <si>
    <t>100A</t>
  </si>
  <si>
    <t>65kA</t>
  </si>
  <si>
    <t>195/150</t>
  </si>
  <si>
    <t>125A</t>
  </si>
  <si>
    <t>150A</t>
  </si>
  <si>
    <t>160A</t>
  </si>
  <si>
    <t>200A</t>
  </si>
  <si>
    <t>225A</t>
  </si>
  <si>
    <t>250A</t>
  </si>
  <si>
    <t>300A</t>
  </si>
  <si>
    <t>320A</t>
  </si>
  <si>
    <t>350A</t>
  </si>
  <si>
    <t>400A</t>
  </si>
  <si>
    <t>450A</t>
  </si>
  <si>
    <t>2C</t>
  </si>
  <si>
    <t>500A</t>
  </si>
  <si>
    <t>630A</t>
  </si>
  <si>
    <t>800A</t>
  </si>
  <si>
    <t>2x1C-185</t>
  </si>
  <si>
    <t>1000A</t>
  </si>
  <si>
    <t>2x1C-240</t>
  </si>
  <si>
    <t>1250A</t>
  </si>
  <si>
    <t>3x1C-185</t>
  </si>
  <si>
    <t>1500A</t>
  </si>
  <si>
    <t>3x1C-240</t>
  </si>
  <si>
    <t>2x185</t>
  </si>
  <si>
    <t>1600A</t>
  </si>
  <si>
    <t>4x1C-185</t>
  </si>
  <si>
    <t>2000A</t>
  </si>
  <si>
    <t>4x1C-240</t>
  </si>
  <si>
    <t>2x240</t>
  </si>
  <si>
    <t>2500A</t>
  </si>
  <si>
    <t>5x1C-240</t>
  </si>
  <si>
    <t>2x300</t>
  </si>
  <si>
    <t>3200A</t>
  </si>
  <si>
    <t>6x1C-300</t>
  </si>
  <si>
    <t>3x300</t>
  </si>
  <si>
    <t>4000A</t>
  </si>
  <si>
    <t>7x1C-300</t>
  </si>
  <si>
    <t>3C</t>
  </si>
  <si>
    <t>4C</t>
  </si>
  <si>
    <t>LV-MSB1</t>
  </si>
  <si>
    <t>P1</t>
  </si>
  <si>
    <t>A1</t>
  </si>
  <si>
    <t>LV-MSB</t>
  </si>
  <si>
    <t>K(s) / In</t>
  </si>
  <si>
    <t>CO</t>
  </si>
  <si>
    <t>I(sc)</t>
  </si>
  <si>
    <t>PhaseCable</t>
  </si>
  <si>
    <t>PECable</t>
  </si>
  <si>
    <t>InsMethod</t>
  </si>
  <si>
    <t>Full(Kva)</t>
  </si>
  <si>
    <t>Last Panel</t>
  </si>
  <si>
    <t>Last Circuit</t>
  </si>
  <si>
    <t>Signal</t>
  </si>
  <si>
    <t>Signal2</t>
  </si>
  <si>
    <t>Signal3</t>
  </si>
  <si>
    <t>Signal4</t>
  </si>
  <si>
    <t>Sensor1</t>
  </si>
  <si>
    <t>Notes</t>
  </si>
  <si>
    <t>NodeType</t>
  </si>
  <si>
    <t>CBType</t>
  </si>
  <si>
    <t>CBPole</t>
  </si>
  <si>
    <t>In</t>
  </si>
  <si>
    <t>MainIncoming</t>
  </si>
  <si>
    <t>CT-DEN</t>
  </si>
  <si>
    <t>Indicator-CT</t>
  </si>
  <si>
    <t>SOF.BYPASS</t>
  </si>
  <si>
    <t>P.CTRL</t>
  </si>
  <si>
    <t>FA SIGNAL</t>
  </si>
  <si>
    <t>BMS SIGNAL</t>
  </si>
  <si>
    <t>SPC</t>
  </si>
  <si>
    <t>NÚT NHẤN TẠI P. FCC</t>
  </si>
  <si>
    <t>P2</t>
  </si>
  <si>
    <t>No Arrow</t>
  </si>
  <si>
    <t>PN.IN</t>
  </si>
  <si>
    <t>PN.WALL</t>
  </si>
  <si>
    <t>KWH</t>
  </si>
  <si>
    <t>Has Arrow</t>
  </si>
  <si>
    <t>List Block</t>
  </si>
  <si>
    <t>P6</t>
  </si>
  <si>
    <t>P7</t>
  </si>
  <si>
    <t>P8</t>
  </si>
  <si>
    <t>4x(1Cx300) Cu/XLPE/PVC</t>
  </si>
  <si>
    <t>(1Cx300) Cu/PVC</t>
  </si>
  <si>
    <t>SP</t>
  </si>
  <si>
    <t>CT</t>
  </si>
  <si>
    <t>CẤP NGUỒN QUẠT HÚT KHÓI 
POWER SUPPLY FOR LIGHTING CORIDOR - LVEL 1</t>
  </si>
  <si>
    <t>CẤP NGUỒN QUẠT HÚT KHÓI 
POWER SUPPLY FOR LIGHTING CORIDOR - LVEL 2</t>
  </si>
  <si>
    <t>CẤP NGUỒN QUẠT HÚT KHÓI 
POWER SUPPLY FOR LIGHTING CORIDOR - LVEL 3</t>
  </si>
  <si>
    <t>CẤP NGUỒN QUẠT HÚT KHÓI 
POWER SUPPLY FOR LIGHTING CORIDOR - LVEL 4</t>
  </si>
  <si>
    <t>CẤP NGUỒN QUẠT HÚT KHÓI 
POWER SUPPLY FOR LIGHTING CORIDOR - LVEL 5</t>
  </si>
  <si>
    <t>Chức năng:
Function:</t>
  </si>
  <si>
    <t>Tên tủ:
Panel name:</t>
  </si>
  <si>
    <t>DÒNG NGẮT CURRENT (In)</t>
  </si>
  <si>
    <r>
      <rPr>
        <b/>
        <sz val="12"/>
        <color theme="3" tint="0.249977111117893"/>
        <rFont val="Arial"/>
        <family val="2"/>
      </rPr>
      <t>DÒNG ĐIỆN</t>
    </r>
    <r>
      <rPr>
        <b/>
        <i/>
        <sz val="12"/>
        <color theme="3" tint="0.249977111117893"/>
        <rFont val="Arial"/>
        <family val="2"/>
      </rPr>
      <t xml:space="preserve">
CURRENT
(A)</t>
    </r>
  </si>
  <si>
    <r>
      <rPr>
        <b/>
        <sz val="12"/>
        <color theme="3" tint="0.249977111117893"/>
        <rFont val="Arial"/>
        <family val="2"/>
      </rPr>
      <t>CB BẢO VỆ</t>
    </r>
    <r>
      <rPr>
        <b/>
        <i/>
        <sz val="12"/>
        <color theme="3" tint="0.249977111117893"/>
        <rFont val="Arial"/>
        <family val="2"/>
      </rPr>
      <t xml:space="preserve">
PROTECTION DEVICE</t>
    </r>
  </si>
  <si>
    <r>
      <rPr>
        <b/>
        <sz val="12"/>
        <color theme="3" tint="0.249977111117893"/>
        <rFont val="Arial"/>
        <family val="2"/>
      </rPr>
      <t>CHỦNG LOẠI VÀ KÍCH CỠ CÁP</t>
    </r>
    <r>
      <rPr>
        <b/>
        <i/>
        <sz val="12"/>
        <color theme="3" tint="0.249977111117893"/>
        <rFont val="Arial"/>
        <family val="2"/>
      </rPr>
      <t xml:space="preserve">
TYPE AND SIZE OF CABLE</t>
    </r>
  </si>
  <si>
    <r>
      <rPr>
        <b/>
        <sz val="12"/>
        <color theme="3" tint="0.249977111117893"/>
        <rFont val="Arial"/>
        <family val="2"/>
      </rPr>
      <t>GIẢI PHÁP LẮP ĐẶT</t>
    </r>
    <r>
      <rPr>
        <b/>
        <i/>
        <sz val="12"/>
        <color theme="3" tint="0.249977111117893"/>
        <rFont val="Arial"/>
        <family val="2"/>
      </rPr>
      <t xml:space="preserve">
INSTALLATION METHOD</t>
    </r>
  </si>
  <si>
    <r>
      <rPr>
        <b/>
        <sz val="12"/>
        <color theme="3" tint="0.249977111117893"/>
        <rFont val="Arial"/>
        <family val="2"/>
      </rPr>
      <t>CÔNG NĂNG CẤP NGUỒN</t>
    </r>
    <r>
      <rPr>
        <b/>
        <i/>
        <sz val="12"/>
        <color theme="3" tint="0.249977111117893"/>
        <rFont val="Arial"/>
        <family val="2"/>
      </rPr>
      <t xml:space="preserve">
LOAD DESCRIPTION</t>
    </r>
  </si>
  <si>
    <r>
      <t xml:space="preserve">TỔNG CÔNG SUẤT ĐỊNH MỨC
</t>
    </r>
    <r>
      <rPr>
        <b/>
        <i/>
        <sz val="12"/>
        <color theme="3" tint="0.249977111117893"/>
        <rFont val="Arial"/>
        <family val="2"/>
      </rPr>
      <t>TOTAL RATE POWER (kVA)</t>
    </r>
  </si>
  <si>
    <r>
      <t xml:space="preserve"> HỆ SỐ ĐỒNG THỜI
</t>
    </r>
    <r>
      <rPr>
        <b/>
        <i/>
        <sz val="12"/>
        <color theme="3" tint="0.249977111117893"/>
        <rFont val="Arial"/>
        <family val="2"/>
      </rPr>
      <t>DIVERSITY FACTOR (Ks)</t>
    </r>
  </si>
  <si>
    <r>
      <t xml:space="preserve">TỔNG CÔNG SUẤT TÍNH TOÁN
</t>
    </r>
    <r>
      <rPr>
        <b/>
        <i/>
        <sz val="12"/>
        <color theme="3" tint="0.249977111117893"/>
        <rFont val="Arial"/>
        <family val="2"/>
      </rPr>
      <t>TOTAL CALCULATED POWER (kVA)</t>
    </r>
  </si>
  <si>
    <r>
      <t xml:space="preserve">DÒNG ĐIỆN TÍNH TOÁN
</t>
    </r>
    <r>
      <rPr>
        <b/>
        <i/>
        <sz val="12"/>
        <color theme="3" tint="0.249977111117893"/>
        <rFont val="Arial"/>
        <family val="2"/>
      </rPr>
      <t>TOTAL CALCULATED CURRENT (A)</t>
    </r>
  </si>
  <si>
    <r>
      <rPr>
        <b/>
        <u/>
        <sz val="12"/>
        <rFont val="Arial"/>
        <family val="2"/>
      </rPr>
      <t xml:space="preserve">GHI CHÚ: </t>
    </r>
    <r>
      <rPr>
        <sz val="12"/>
        <rFont val="Arial"/>
        <family val="2"/>
      </rPr>
      <t xml:space="preserve">
- Chạy thử nghiệm ver1</t>
    </r>
  </si>
  <si>
    <t>TÊN MẠCH 
LINE</t>
  </si>
  <si>
    <t>- Chạy thửu nghiêm lần 1</t>
  </si>
  <si>
    <t>4x(1Cx16) Cu/XLPE/PVC/LSHZ/DSTA</t>
  </si>
  <si>
    <t>TỦ CẤP NGUỒN QUẠT PHÒNG CHÁY CHỮA CHÁY - Tâng Hầm 1
POWER SUPPLY FOR SMOKE EXHAUSTED FAN - BASEMENT 1st</t>
  </si>
  <si>
    <t>Ghi chú/ Notes:</t>
  </si>
  <si>
    <t>DÂY NỐI ĐẤT
EARTHING CONDUCTOR 
(E)(mm²)</t>
  </si>
  <si>
    <t>HasPanel</t>
  </si>
  <si>
    <t>Panel</t>
  </si>
  <si>
    <t>ListPanel</t>
  </si>
  <si>
    <t>MeThod</t>
  </si>
  <si>
    <t>TỦ ĐIỆN CẤP NGUỒN QUẠT GIÓ TƯƠI B2F_KHOANG 2</t>
  </si>
  <si>
    <t>POWER SUPPLY FOR THE FRESH AIR FAN B2F_ZONE 2</t>
  </si>
  <si>
    <t>MCP-B2F-FAF.Z2</t>
  </si>
  <si>
    <t>MCP-B2F-FAF.Z3</t>
  </si>
  <si>
    <t>TỦ ĐIỆN CẤP NGUỒN QUẠT GIÓ TƯƠI B2F_KHOANG 3</t>
  </si>
  <si>
    <t>POWER SUPPLY FOR THE FRESH AIR FAN B2F_ZONE 3</t>
  </si>
  <si>
    <t>MCP-B2F-FAF.Z4</t>
  </si>
  <si>
    <t>TỦ ĐIỆN CẤP NGUỒN QUẠT GIÓ TƯƠI B2F_KHOANG 4</t>
  </si>
  <si>
    <t>POWER SUPPLY FOR THE FRESH AIR FAN B2F_ZONE 4</t>
  </si>
  <si>
    <t>MCP-B2F-FAF.Z5</t>
  </si>
  <si>
    <t>TỦ ĐIỆN CẤP NGUỒN QUẠT GIÓ TƯƠI B2F_KHOANG 5</t>
  </si>
  <si>
    <t>POWER SUPPLY FOR THE FRESH AIR FAN B2F_ZONE 5</t>
  </si>
  <si>
    <t>MCP-B2F-FAF.Z6</t>
  </si>
  <si>
    <t>TỦ ĐIỆN CẤP NGUỒN QUẠT GIÓ TƯƠI B2F_KHOANG 6</t>
  </si>
  <si>
    <t>POWER SUPPLY FOR THE FRESH AIR FAN B2F_ZONE 6</t>
  </si>
  <si>
    <t>MCP-B2F-FAF.Z7</t>
  </si>
  <si>
    <t>TỦ ĐIỆN CẤP NGUỒN QUẠT GIÓ TƯƠI B2F_KHOANG 7</t>
  </si>
  <si>
    <t>POWER SUPPLY FOR THE FRESH AIR FAN B2F_ZONE 7</t>
  </si>
  <si>
    <t>MCP-B2F-FAF.Z8</t>
  </si>
  <si>
    <t>TỦ ĐIỆN CẤP NGUỒN QUẠT GIÓ TƯƠI B2F_KHOANG 8</t>
  </si>
  <si>
    <t>POWER SUPPLY FOR THE FRESH AIR FAN B2F_ZONE 8</t>
  </si>
  <si>
    <t>MCP-B2F-FAF.Z9</t>
  </si>
  <si>
    <t>TỦ ĐIỆN CẤP NGUỒN QUẠT GIÓ TƯƠI B2F_KHOANG 9</t>
  </si>
  <si>
    <t>POWER SUPPLY FOR THE FRESH AIR FAN B2F_ZONE 9</t>
  </si>
  <si>
    <t>MCP-B2F-SEAF.Z1</t>
  </si>
  <si>
    <t>TỦ ĐIỆN CẤP NGUỒN QUẠT HÚT KHÓI B2F_KHOANG 1</t>
  </si>
  <si>
    <t>POWER SUPPLY FOR THE SMOKE AIR FAN B2F_ZONE 1</t>
  </si>
  <si>
    <t>MCP-B2F-SEAF.Z2</t>
  </si>
  <si>
    <t>TỦ ĐIỆN CẤP NGUỒN QUẠT HÚT KHÓI B2F_KHOANG 2</t>
  </si>
  <si>
    <t>POWER SUPPLY FOR THE SMOKE AIR FAN B2F_ZONE 2</t>
  </si>
  <si>
    <t>MCP-B2F-SEAF.Z3</t>
  </si>
  <si>
    <t>TỦ ĐIỆN CẤP NGUỒN QUẠT HÚT KHÓI B2F_KHOANG 3</t>
  </si>
  <si>
    <t>POWER SUPPLY FOR THE SMOKE AIR FAN B2F_ZONE 3</t>
  </si>
  <si>
    <t>MCP-B2F-SEAF.Z4</t>
  </si>
  <si>
    <t>TỦ ĐIỆN CẤP NGUỒN QUẠT HÚT KHÓI B2F_KHOANG 4</t>
  </si>
  <si>
    <t>POWER SUPPLY FOR THE SMOKE AIR FAN B2F_ZONE 4</t>
  </si>
  <si>
    <t>MCP-B2F-SEAF.Z5</t>
  </si>
  <si>
    <t>TỦ ĐIỆN CẤP NGUỒN QUẠT HÚT KHÓI B2F_KHOANG 5</t>
  </si>
  <si>
    <t>POWER SUPPLY FOR THE SMOKE AIR FAN B2F_ZONE 5</t>
  </si>
  <si>
    <t>MCP-B2F-SEAF.Z6</t>
  </si>
  <si>
    <t>TỦ ĐIỆN CẤP NGUỒN QUẠT HÚT KHÓI B2F_KHOANG 6</t>
  </si>
  <si>
    <t>POWER SUPPLY FOR THE SMOKE AIR FAN B2F_ZONE 6</t>
  </si>
  <si>
    <t>MCP-B2F-SEAF.Z7</t>
  </si>
  <si>
    <t>TỦ ĐIỆN CẤP NGUỒN QUẠT HÚT KHÓI B2F_KHOANG 7</t>
  </si>
  <si>
    <t>POWER SUPPLY FOR THE SMOKE AIR FAN B2F_ZONE 7</t>
  </si>
  <si>
    <t>MCP-B2F-SEAF.Z8</t>
  </si>
  <si>
    <t>TỦ ĐIỆN CẤP NGUỒN QUẠT HÚT KHÓI B2F_KHOANG 8</t>
  </si>
  <si>
    <t>POWER SUPPLY FOR THE SMOKE AIR FAN B2F_ZONE 8</t>
  </si>
  <si>
    <t>MCP-B2F-SEAF.Z9</t>
  </si>
  <si>
    <t>TỦ ĐIỆN CẤP NGUỒN QUẠT HÚT KHÓI B2F_KHOANG 9</t>
  </si>
  <si>
    <t>POWER SUPPLY FOR THE SMOKE AIR FAN B2F_ZONE 9</t>
  </si>
  <si>
    <t>MCP-B1F-FAF.Z1</t>
  </si>
  <si>
    <t>TỦ ĐIỆN CẤP NGUỒN QUẠT GIÓ TƯƠI B1F_KHOANG 1</t>
  </si>
  <si>
    <t>POWER SUPPLY FOR THE FRESH AIR FAN B1F_ZONE 1</t>
  </si>
  <si>
    <t>FAF-Z1-01</t>
  </si>
  <si>
    <t>QUẠT CẤP GIÓ TƯƠI HẦM 2_KHOANG 1(VSD)</t>
  </si>
  <si>
    <t>FRESH AIR FAN FOR BASEMENT 2_ZONE 1(VSD)</t>
  </si>
  <si>
    <t>3x(1Cx6.0) Cu/Mica/XLPE/LSZH</t>
  </si>
  <si>
    <t>(1Cx6.0) Cu/PVC</t>
  </si>
  <si>
    <t>FAF-Z1-02</t>
  </si>
  <si>
    <t>MFD</t>
  </si>
  <si>
    <t>CẤP NGUỒN VAN GIÓ</t>
  </si>
  <si>
    <t>POWER SUPPLY AIR VALVE</t>
  </si>
  <si>
    <t>2x(1Cx2.5) Cu/Mica/XLPE/LSZH</t>
  </si>
  <si>
    <t>(1Cx2.5) Cu/PVC</t>
  </si>
  <si>
    <t>IN PVC CONDUIT D25</t>
  </si>
  <si>
    <t>MẠCH ĐIỀU KHIỂN</t>
  </si>
  <si>
    <t>CONTROL</t>
  </si>
  <si>
    <t>W / VA</t>
  </si>
  <si>
    <t xml:space="preserve"> On Phase</t>
  </si>
  <si>
    <t>KTC</t>
  </si>
  <si>
    <t>KTO</t>
  </si>
  <si>
    <t>1</t>
  </si>
  <si>
    <t>OK -- OK</t>
  </si>
  <si>
    <t>3x1.5  @D20 (10.6%)</t>
  </si>
  <si>
    <t>4</t>
  </si>
  <si>
    <t>3x(1C-6.0) Cu/Mica/XLPE/LSZH</t>
  </si>
  <si>
    <t>(1C-6.0) Cu/PVC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</si>
</sst>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;\-General;&quot;.&quot;"/>
    <numFmt numFmtId="165" formatCode="0;\-0;&quot;-&quot;;&quot;-&quot;"/>
    <numFmt numFmtId="166" formatCode="0.0"/>
    <numFmt numFmtId="167" formatCode="0.0_ "/>
  </numFmts>
  <fonts count="4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 tint="-0.499984740745262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2"/>
      <color theme="0" tint="-0.499984740745262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2"/>
      <color theme="0" tint="-0.249977111117893"/>
      <name val="Arial"/>
      <family val="2"/>
    </font>
    <font>
      <sz val="11"/>
      <color theme="0" tint="-0.499984740745262"/>
      <name val="Arial"/>
      <family val="2"/>
    </font>
    <font>
      <sz val="9"/>
      <color theme="0"/>
      <name val="Arial"/>
      <family val="2"/>
    </font>
    <font>
      <sz val="11"/>
      <color theme="0"/>
      <name val="Arial"/>
      <family val="2"/>
    </font>
    <font>
      <sz val="11"/>
      <color rgb="FF0070C0"/>
      <name val="Arial"/>
      <family val="2"/>
    </font>
    <font>
      <sz val="11"/>
      <color theme="1"/>
      <name val="Aptos Narrow"/>
      <family val="2"/>
      <charset val="163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sz val="11"/>
      <color theme="1"/>
      <name val="Aptos Narrow"/>
      <family val="2"/>
      <charset val="134"/>
      <scheme val="minor"/>
    </font>
    <font>
      <b/>
      <sz val="20"/>
      <color theme="1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8"/>
      <color rgb="FF000000"/>
      <name val="Arial"/>
      <family val="2"/>
    </font>
    <font>
      <i/>
      <sz val="9"/>
      <color indexed="8"/>
      <name val="Times New Roman"/>
      <family val="1"/>
    </font>
    <font>
      <sz val="8"/>
      <color rgb="FFFF0000"/>
      <name val="Arial"/>
      <family val="2"/>
    </font>
    <font>
      <sz val="8"/>
      <name val="Aptos Narrow"/>
      <family val="2"/>
      <scheme val="minor"/>
    </font>
    <font>
      <sz val="12"/>
      <color theme="0"/>
      <name val="Arial"/>
      <family val="2"/>
    </font>
    <font>
      <b/>
      <sz val="12"/>
      <color theme="3" tint="0.249977111117893"/>
      <name val="Arial"/>
      <family val="2"/>
    </font>
    <font>
      <b/>
      <sz val="13"/>
      <color theme="3" tint="0.249977111117893"/>
      <name val="Arial"/>
      <family val="2"/>
    </font>
    <font>
      <b/>
      <sz val="20"/>
      <color theme="3" tint="0.249977111117893"/>
      <name val="Arial"/>
      <family val="2"/>
    </font>
    <font>
      <b/>
      <i/>
      <sz val="12"/>
      <color theme="3" tint="0.249977111117893"/>
      <name val="Arial"/>
      <family val="2"/>
    </font>
    <font>
      <sz val="12"/>
      <color theme="3" tint="0.249977111117893"/>
      <name val="Arial"/>
      <family val="2"/>
    </font>
    <font>
      <b/>
      <u/>
      <sz val="12"/>
      <name val="Arial"/>
      <family val="2"/>
    </font>
    <font>
      <sz val="13"/>
      <color theme="3" tint="0.249977111117893"/>
      <name val="Arial"/>
      <family val="2"/>
    </font>
    <font>
      <b/>
      <u/>
      <sz val="13"/>
      <color theme="3" tint="0.249977111117893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auto="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/>
      <right/>
      <top style="thin">
        <color theme="4" tint="0.39994506668294322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indexed="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theme="7"/>
      </top>
      <bottom style="medium">
        <color auto="1"/>
      </bottom>
      <diagonal/>
    </border>
    <border>
      <left style="thin">
        <color auto="1"/>
      </left>
      <right style="thin">
        <color theme="4" tint="0.39997558519241921"/>
      </right>
      <top style="hair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auto="1"/>
      </left>
      <right/>
      <top style="thin">
        <color theme="4" tint="0.39997558519241921"/>
      </top>
      <bottom/>
      <diagonal/>
    </border>
    <border>
      <left style="thin">
        <color auto="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hair">
        <color auto="1"/>
      </top>
      <bottom/>
      <diagonal/>
    </border>
    <border>
      <left style="thin">
        <color auto="1"/>
      </left>
      <right style="thin">
        <color theme="4" tint="0.39997558519241921"/>
      </right>
      <top style="hair">
        <color auto="1"/>
      </top>
      <bottom/>
      <diagonal/>
    </border>
    <border>
      <left style="thin">
        <color theme="4" tint="0.39997558519241921"/>
      </left>
      <right/>
      <top style="hair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hair">
        <color auto="1"/>
      </top>
      <bottom style="thin">
        <color theme="4" tint="0.39997558519241921"/>
      </bottom>
      <diagonal/>
    </border>
  </borders>
  <cellStyleXfs count="5">
    <xf numFmtId="0" fontId="0" fillId="0" borderId="0"/>
    <xf numFmtId="0" fontId="1" fillId="0" borderId="0"/>
    <xf numFmtId="0" fontId="19" fillId="0" borderId="0"/>
    <xf numFmtId="0" fontId="1" fillId="0" borderId="0"/>
    <xf numFmtId="0" fontId="21" fillId="0" borderId="0"/>
  </cellStyleXfs>
  <cellXfs count="237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164" fontId="8" fillId="2" borderId="1" xfId="0" applyNumberFormat="1" applyFont="1" applyFill="1" applyBorder="1" applyAlignment="1">
      <alignment vertical="center"/>
    </xf>
    <xf numFmtId="164" fontId="8" fillId="2" borderId="1" xfId="0" applyNumberFormat="1" applyFont="1" applyFill="1" applyBorder="1" applyAlignment="1">
      <alignment horizontal="center" vertical="center"/>
    </xf>
    <xf numFmtId="164" fontId="8" fillId="2" borderId="1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Alignment="1">
      <alignment horizontal="left" vertical="center"/>
    </xf>
    <xf numFmtId="164" fontId="15" fillId="2" borderId="0" xfId="0" applyNumberFormat="1" applyFont="1" applyFill="1" applyAlignment="1">
      <alignment horizontal="center" vertical="center"/>
    </xf>
    <xf numFmtId="164" fontId="16" fillId="0" borderId="0" xfId="0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left" vertical="center" wrapText="1"/>
    </xf>
    <xf numFmtId="0" fontId="1" fillId="0" borderId="0" xfId="3"/>
    <xf numFmtId="0" fontId="1" fillId="0" borderId="0" xfId="3" applyAlignment="1">
      <alignment horizontal="center"/>
    </xf>
    <xf numFmtId="49" fontId="1" fillId="0" borderId="0" xfId="3" applyNumberFormat="1"/>
    <xf numFmtId="49" fontId="23" fillId="5" borderId="5" xfId="3" applyNumberFormat="1" applyFont="1" applyFill="1" applyBorder="1" applyAlignment="1">
      <alignment horizontal="center" vertical="center" wrapText="1"/>
    </xf>
    <xf numFmtId="0" fontId="23" fillId="5" borderId="5" xfId="3" applyFont="1" applyFill="1" applyBorder="1" applyAlignment="1">
      <alignment horizontal="center" vertical="center" wrapText="1"/>
    </xf>
    <xf numFmtId="49" fontId="1" fillId="0" borderId="0" xfId="3" applyNumberFormat="1" applyAlignment="1">
      <alignment horizontal="center"/>
    </xf>
    <xf numFmtId="0" fontId="1" fillId="0" borderId="14" xfId="3" applyBorder="1" applyAlignment="1">
      <alignment horizontal="center" vertical="center"/>
    </xf>
    <xf numFmtId="0" fontId="1" fillId="0" borderId="15" xfId="3" applyBorder="1" applyAlignment="1">
      <alignment horizontal="center" vertical="center"/>
    </xf>
    <xf numFmtId="0" fontId="1" fillId="0" borderId="16" xfId="3" applyBorder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2" fillId="0" borderId="0" xfId="3" applyFont="1" applyAlignment="1">
      <alignment horizontal="center" vertical="center" wrapText="1"/>
    </xf>
    <xf numFmtId="49" fontId="1" fillId="6" borderId="17" xfId="3" applyNumberFormat="1" applyFill="1" applyBorder="1" applyAlignment="1">
      <alignment horizontal="center" wrapText="1"/>
    </xf>
    <xf numFmtId="49" fontId="1" fillId="6" borderId="17" xfId="3" applyNumberFormat="1" applyFill="1" applyBorder="1" applyAlignment="1">
      <alignment horizontal="center"/>
    </xf>
    <xf numFmtId="0" fontId="1" fillId="0" borderId="17" xfId="3" applyBorder="1" applyAlignment="1">
      <alignment horizontal="center"/>
    </xf>
    <xf numFmtId="0" fontId="26" fillId="7" borderId="11" xfId="3" applyFont="1" applyFill="1" applyBorder="1" applyAlignment="1">
      <alignment horizontal="center" vertical="center"/>
    </xf>
    <xf numFmtId="0" fontId="26" fillId="7" borderId="18" xfId="3" applyFont="1" applyFill="1" applyBorder="1" applyAlignment="1">
      <alignment horizontal="center" vertical="center"/>
    </xf>
    <xf numFmtId="0" fontId="26" fillId="7" borderId="10" xfId="3" applyFont="1" applyFill="1" applyBorder="1" applyAlignment="1">
      <alignment horizontal="center" vertical="center"/>
    </xf>
    <xf numFmtId="49" fontId="24" fillId="6" borderId="19" xfId="3" applyNumberFormat="1" applyFont="1" applyFill="1" applyBorder="1" applyAlignment="1">
      <alignment horizontal="center" vertical="center"/>
    </xf>
    <xf numFmtId="0" fontId="20" fillId="8" borderId="9" xfId="3" applyFont="1" applyFill="1" applyBorder="1" applyAlignment="1">
      <alignment horizontal="center" vertical="center"/>
    </xf>
    <xf numFmtId="0" fontId="20" fillId="8" borderId="1" xfId="3" applyFont="1" applyFill="1" applyBorder="1" applyAlignment="1">
      <alignment horizontal="center" vertical="center" wrapText="1"/>
    </xf>
    <xf numFmtId="0" fontId="20" fillId="8" borderId="20" xfId="3" applyFont="1" applyFill="1" applyBorder="1" applyAlignment="1">
      <alignment horizontal="center" vertical="center" wrapText="1"/>
    </xf>
    <xf numFmtId="49" fontId="1" fillId="0" borderId="17" xfId="3" applyNumberFormat="1" applyBorder="1" applyAlignment="1">
      <alignment horizontal="center"/>
    </xf>
    <xf numFmtId="0" fontId="27" fillId="0" borderId="11" xfId="3" applyFont="1" applyBorder="1" applyAlignment="1">
      <alignment horizontal="center" vertical="center"/>
    </xf>
    <xf numFmtId="0" fontId="28" fillId="0" borderId="21" xfId="3" applyFont="1" applyBorder="1" applyAlignment="1">
      <alignment horizontal="center" vertical="top" wrapText="1"/>
    </xf>
    <xf numFmtId="0" fontId="28" fillId="0" borderId="22" xfId="3" applyFont="1" applyBorder="1" applyAlignment="1">
      <alignment horizontal="center" vertical="top" wrapText="1"/>
    </xf>
    <xf numFmtId="0" fontId="1" fillId="0" borderId="18" xfId="3" applyBorder="1" applyAlignment="1">
      <alignment horizontal="center" vertical="center"/>
    </xf>
    <xf numFmtId="49" fontId="24" fillId="6" borderId="23" xfId="3" applyNumberFormat="1" applyFont="1" applyFill="1" applyBorder="1" applyAlignment="1">
      <alignment horizontal="center" vertical="center"/>
    </xf>
    <xf numFmtId="0" fontId="1" fillId="0" borderId="4" xfId="3" applyBorder="1" applyAlignment="1">
      <alignment horizontal="center" vertical="center"/>
    </xf>
    <xf numFmtId="0" fontId="1" fillId="4" borderId="1" xfId="3" applyFill="1" applyBorder="1" applyAlignment="1">
      <alignment horizontal="center"/>
    </xf>
    <xf numFmtId="0" fontId="21" fillId="4" borderId="1" xfId="3" applyFont="1" applyFill="1" applyBorder="1" applyAlignment="1">
      <alignment horizontal="center"/>
    </xf>
    <xf numFmtId="0" fontId="1" fillId="4" borderId="20" xfId="3" applyFill="1" applyBorder="1"/>
    <xf numFmtId="49" fontId="24" fillId="6" borderId="24" xfId="3" applyNumberFormat="1" applyFont="1" applyFill="1" applyBorder="1" applyAlignment="1">
      <alignment horizontal="center" vertical="center"/>
    </xf>
    <xf numFmtId="166" fontId="27" fillId="0" borderId="11" xfId="3" applyNumberFormat="1" applyFont="1" applyBorder="1" applyAlignment="1">
      <alignment horizontal="center" vertical="center"/>
    </xf>
    <xf numFmtId="166" fontId="1" fillId="4" borderId="1" xfId="3" applyNumberFormat="1" applyFill="1" applyBorder="1" applyAlignment="1">
      <alignment horizontal="center"/>
    </xf>
    <xf numFmtId="1" fontId="1" fillId="4" borderId="1" xfId="3" applyNumberFormat="1" applyFill="1" applyBorder="1" applyAlignment="1">
      <alignment horizontal="center"/>
    </xf>
    <xf numFmtId="49" fontId="1" fillId="6" borderId="19" xfId="3" applyNumberFormat="1" applyFill="1" applyBorder="1" applyAlignment="1">
      <alignment horizontal="center" vertical="center"/>
    </xf>
    <xf numFmtId="49" fontId="1" fillId="6" borderId="24" xfId="3" applyNumberFormat="1" applyFill="1" applyBorder="1" applyAlignment="1">
      <alignment horizontal="center" vertical="center"/>
    </xf>
    <xf numFmtId="49" fontId="1" fillId="0" borderId="25" xfId="3" applyNumberFormat="1" applyBorder="1" applyAlignment="1">
      <alignment horizontal="center"/>
    </xf>
    <xf numFmtId="0" fontId="1" fillId="4" borderId="12" xfId="3" applyFill="1" applyBorder="1" applyAlignment="1">
      <alignment horizontal="center"/>
    </xf>
    <xf numFmtId="0" fontId="21" fillId="4" borderId="12" xfId="3" applyFont="1" applyFill="1" applyBorder="1" applyAlignment="1">
      <alignment horizontal="center"/>
    </xf>
    <xf numFmtId="0" fontId="1" fillId="4" borderId="26" xfId="3" applyFill="1" applyBorder="1" applyAlignment="1">
      <alignment horizontal="center"/>
    </xf>
    <xf numFmtId="0" fontId="28" fillId="0" borderId="27" xfId="3" applyFont="1" applyBorder="1" applyAlignment="1">
      <alignment horizontal="center" vertical="top" wrapText="1"/>
    </xf>
    <xf numFmtId="0" fontId="28" fillId="0" borderId="28" xfId="3" applyFont="1" applyBorder="1" applyAlignment="1">
      <alignment horizontal="center" vertical="top" wrapText="1"/>
    </xf>
    <xf numFmtId="0" fontId="1" fillId="0" borderId="10" xfId="3" applyBorder="1" applyAlignment="1">
      <alignment horizontal="center" vertical="center"/>
    </xf>
    <xf numFmtId="49" fontId="1" fillId="0" borderId="0" xfId="3" applyNumberFormat="1" applyAlignment="1">
      <alignment horizontal="center" vertical="center"/>
    </xf>
    <xf numFmtId="49" fontId="29" fillId="0" borderId="0" xfId="4" applyNumberFormat="1" applyFont="1" applyAlignment="1">
      <alignment horizontal="center" vertical="center"/>
    </xf>
    <xf numFmtId="0" fontId="1" fillId="0" borderId="11" xfId="3" applyBorder="1" applyAlignment="1">
      <alignment horizontal="center" vertical="center"/>
    </xf>
    <xf numFmtId="0" fontId="28" fillId="0" borderId="29" xfId="3" applyFont="1" applyBorder="1" applyAlignment="1">
      <alignment horizontal="center" vertical="top" wrapText="1"/>
    </xf>
    <xf numFmtId="0" fontId="30" fillId="0" borderId="29" xfId="3" applyFont="1" applyBorder="1" applyAlignment="1">
      <alignment horizontal="center" vertical="top" wrapText="1"/>
    </xf>
    <xf numFmtId="0" fontId="28" fillId="0" borderId="30" xfId="3" applyFont="1" applyBorder="1" applyAlignment="1">
      <alignment horizontal="center" vertical="top" wrapText="1"/>
    </xf>
    <xf numFmtId="0" fontId="28" fillId="0" borderId="31" xfId="3" applyFont="1" applyBorder="1" applyAlignment="1">
      <alignment horizontal="center" vertical="top" wrapText="1"/>
    </xf>
    <xf numFmtId="167" fontId="30" fillId="0" borderId="29" xfId="3" applyNumberFormat="1" applyFont="1" applyBorder="1" applyAlignment="1">
      <alignment horizontal="center" vertical="top" wrapText="1"/>
    </xf>
    <xf numFmtId="167" fontId="28" fillId="0" borderId="30" xfId="3" applyNumberFormat="1" applyFont="1" applyBorder="1" applyAlignment="1">
      <alignment horizontal="center" vertical="top" wrapText="1"/>
    </xf>
    <xf numFmtId="49" fontId="22" fillId="0" borderId="32" xfId="3" applyNumberFormat="1" applyFont="1" applyBorder="1" applyAlignment="1">
      <alignment horizontal="center" vertical="center"/>
    </xf>
    <xf numFmtId="167" fontId="28" fillId="0" borderId="31" xfId="3" applyNumberFormat="1" applyFont="1" applyBorder="1" applyAlignment="1">
      <alignment horizontal="center" vertical="top" wrapText="1"/>
    </xf>
    <xf numFmtId="0" fontId="28" fillId="0" borderId="33" xfId="3" applyFont="1" applyBorder="1" applyAlignment="1">
      <alignment horizontal="center" vertical="top" wrapText="1"/>
    </xf>
    <xf numFmtId="0" fontId="30" fillId="0" borderId="34" xfId="3" applyFont="1" applyBorder="1" applyAlignment="1">
      <alignment horizontal="center" vertical="top" wrapText="1"/>
    </xf>
    <xf numFmtId="0" fontId="28" fillId="0" borderId="35" xfId="3" applyFont="1" applyBorder="1" applyAlignment="1">
      <alignment horizontal="center" vertical="top" wrapText="1"/>
    </xf>
    <xf numFmtId="166" fontId="1" fillId="0" borderId="11" xfId="3" applyNumberFormat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0" fillId="0" borderId="36" xfId="0" applyBorder="1"/>
    <xf numFmtId="0" fontId="20" fillId="9" borderId="37" xfId="0" applyFont="1" applyFill="1" applyBorder="1" applyAlignment="1">
      <alignment horizontal="center" vertical="center"/>
    </xf>
    <xf numFmtId="164" fontId="9" fillId="10" borderId="1" xfId="0" applyNumberFormat="1" applyFont="1" applyFill="1" applyBorder="1" applyAlignment="1">
      <alignment horizontal="left" vertical="center"/>
    </xf>
    <xf numFmtId="0" fontId="32" fillId="10" borderId="1" xfId="0" applyFont="1" applyFill="1" applyBorder="1" applyAlignment="1">
      <alignment horizontal="left" vertical="center"/>
    </xf>
    <xf numFmtId="164" fontId="32" fillId="10" borderId="1" xfId="0" applyNumberFormat="1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center" vertical="center" wrapText="1"/>
    </xf>
    <xf numFmtId="0" fontId="34" fillId="0" borderId="3" xfId="0" applyFont="1" applyBorder="1" applyAlignment="1">
      <alignment horizontal="right" vertical="center" wrapText="1"/>
    </xf>
    <xf numFmtId="0" fontId="34" fillId="0" borderId="3" xfId="0" applyFont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25" fillId="0" borderId="6" xfId="3" applyFont="1" applyBorder="1" applyAlignment="1">
      <alignment horizontal="center" vertical="center"/>
    </xf>
    <xf numFmtId="0" fontId="35" fillId="0" borderId="40" xfId="0" applyFont="1" applyFill="1" applyBorder="1" applyAlignment="1" applyProtection="1">
      <alignment horizontal="left" vertical="center" wrapText="1" indent="1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40" xfId="0" applyFont="1" applyFill="1" applyBorder="1" applyAlignment="1" applyProtection="1">
      <alignment vertical="top" wrapText="1"/>
      <protection locked="0"/>
    </xf>
    <xf numFmtId="0" fontId="33" fillId="0" borderId="4" xfId="0" applyFont="1" applyFill="1" applyBorder="1" applyAlignment="1" applyProtection="1">
      <alignment vertical="top" wrapText="1"/>
      <protection locked="0"/>
    </xf>
    <xf numFmtId="0" fontId="36" fillId="0" borderId="8" xfId="0" applyFont="1" applyFill="1" applyBorder="1" applyAlignment="1" applyProtection="1">
      <alignment vertical="center" wrapText="1"/>
      <protection locked="0"/>
    </xf>
    <xf numFmtId="0" fontId="33" fillId="0" borderId="11" xfId="0" applyFont="1" applyFill="1" applyBorder="1" applyAlignment="1" applyProtection="1">
      <alignment vertical="top" wrapText="1"/>
      <protection locked="0"/>
    </xf>
    <xf numFmtId="0" fontId="33" fillId="0" borderId="6" xfId="0" applyFont="1" applyFill="1" applyBorder="1" applyAlignment="1" applyProtection="1">
      <alignment vertical="top" wrapText="1"/>
      <protection locked="0"/>
    </xf>
    <xf numFmtId="0" fontId="33" fillId="0" borderId="7" xfId="0" applyFont="1" applyFill="1" applyBorder="1" applyAlignment="1" applyProtection="1">
      <alignment vertical="top" wrapText="1"/>
      <protection locked="0"/>
    </xf>
    <xf numFmtId="49" fontId="1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12" fillId="0" borderId="7" xfId="0" applyNumberFormat="1" applyFont="1" applyFill="1" applyBorder="1" applyAlignment="1" applyProtection="1">
      <alignment horizontal="left" vertical="center" wrapText="1"/>
      <protection locked="0"/>
    </xf>
    <xf numFmtId="49" fontId="12" fillId="0" borderId="2" xfId="0" applyNumberFormat="1" applyFont="1" applyFill="1" applyBorder="1" applyAlignment="1" applyProtection="1">
      <alignment horizontal="left" vertical="center" wrapText="1"/>
      <protection locked="0"/>
    </xf>
    <xf numFmtId="2" fontId="1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12" fillId="0" borderId="5" xfId="0" applyNumberFormat="1" applyFont="1" applyFill="1" applyBorder="1" applyAlignment="1" applyProtection="1">
      <alignment horizontal="center" vertical="center" wrapText="1"/>
      <protection locked="0"/>
    </xf>
    <xf numFmtId="2" fontId="12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Fill="1" applyBorder="1" applyAlignment="1" applyProtection="1">
      <alignment horizontal="center" vertical="center" wrapText="1"/>
      <protection locked="0"/>
    </xf>
    <xf numFmtId="2" fontId="12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2" fillId="0" borderId="3" xfId="0" applyNumberFormat="1" applyFont="1" applyFill="1" applyBorder="1" applyAlignment="1" applyProtection="1">
      <alignment horizontal="center" vertical="center" wrapText="1"/>
      <protection locked="0"/>
    </xf>
    <xf numFmtId="2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40" xfId="0" applyFont="1" applyFill="1" applyBorder="1" applyAlignment="1" applyProtection="1">
      <alignment vertical="top" wrapText="1"/>
      <protection locked="0"/>
    </xf>
    <xf numFmtId="0" fontId="10" fillId="0" borderId="4" xfId="0" applyFont="1" applyFill="1" applyBorder="1" applyAlignment="1" applyProtection="1">
      <alignment vertical="top" wrapText="1"/>
      <protection locked="0"/>
    </xf>
    <xf numFmtId="164" fontId="37" fillId="0" borderId="3" xfId="0" applyNumberFormat="1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right" vertical="center" wrapText="1"/>
      <protection locked="0"/>
    </xf>
    <xf numFmtId="0" fontId="33" fillId="0" borderId="1" xfId="0" applyFont="1" applyFill="1" applyBorder="1" applyAlignment="1" applyProtection="1">
      <alignment horizontal="right" vertical="center" wrapText="1"/>
      <protection locked="0"/>
    </xf>
    <xf numFmtId="2" fontId="33" fillId="0" borderId="1" xfId="0" applyNumberFormat="1" applyFont="1" applyFill="1" applyBorder="1" applyAlignment="1" applyProtection="1">
      <alignment horizontal="center" vertical="center"/>
      <protection locked="0"/>
    </xf>
    <xf numFmtId="2" fontId="33" fillId="0" borderId="3" xfId="0" applyNumberFormat="1" applyFont="1" applyFill="1" applyBorder="1" applyAlignment="1" applyProtection="1">
      <alignment horizontal="center" vertical="center"/>
      <protection locked="0"/>
    </xf>
    <xf numFmtId="2" fontId="37" fillId="0" borderId="10" xfId="0" applyNumberFormat="1" applyFont="1" applyFill="1" applyBorder="1" applyAlignment="1" applyProtection="1">
      <alignment horizontal="center" vertical="center"/>
      <protection locked="0"/>
    </xf>
    <xf numFmtId="0" fontId="10" fillId="0" borderId="11" xfId="0" applyFont="1" applyFill="1" applyBorder="1" applyAlignment="1" applyProtection="1">
      <alignment horizontal="left" vertical="top" wrapText="1"/>
      <protection locked="0"/>
    </xf>
    <xf numFmtId="2" fontId="33" fillId="0" borderId="8" xfId="0" applyNumberFormat="1" applyFont="1" applyFill="1" applyBorder="1" applyAlignment="1" applyProtection="1">
      <alignment horizontal="center" vertical="center"/>
      <protection locked="0"/>
    </xf>
    <xf numFmtId="2" fontId="37" fillId="0" borderId="5" xfId="0" applyNumberFormat="1" applyFont="1" applyFill="1" applyBorder="1" applyAlignment="1" applyProtection="1">
      <alignment horizontal="center" vertical="center"/>
      <protection locked="0"/>
    </xf>
    <xf numFmtId="0" fontId="10" fillId="0" borderId="6" xfId="0" applyFont="1" applyFill="1" applyBorder="1" applyAlignment="1" applyProtection="1">
      <alignment horizontal="left" vertical="top" wrapText="1"/>
      <protection locked="0"/>
    </xf>
    <xf numFmtId="0" fontId="10" fillId="0" borderId="7" xfId="0" applyFont="1" applyFill="1" applyBorder="1" applyAlignment="1" applyProtection="1">
      <alignment horizontal="left" vertical="top" wrapText="1"/>
      <protection locked="0"/>
    </xf>
    <xf numFmtId="164" fontId="37" fillId="0" borderId="9" xfId="0" applyNumberFormat="1" applyFont="1" applyFill="1" applyBorder="1" applyAlignment="1" applyProtection="1">
      <alignment horizontal="left" vertical="center"/>
      <protection locked="0"/>
    </xf>
    <xf numFmtId="0" fontId="33" fillId="0" borderId="1" xfId="0" applyFont="1" applyFill="1" applyBorder="1" applyAlignment="1" applyProtection="1">
      <alignment horizontal="center" vertical="center" wrapText="1"/>
      <protection locked="0"/>
    </xf>
    <xf numFmtId="0" fontId="33" fillId="0" borderId="1" xfId="0" applyFont="1" applyFill="1" applyBorder="1" applyAlignment="1" applyProtection="1">
      <alignment horizontal="center" vertical="center" wrapText="1"/>
      <protection locked="0"/>
    </xf>
    <xf numFmtId="164" fontId="10" fillId="0" borderId="3" xfId="0" applyNumberFormat="1" applyFont="1" applyFill="1" applyBorder="1" applyAlignment="1" applyProtection="1">
      <alignment horizontal="center" vertical="center"/>
      <protection locked="0"/>
    </xf>
    <xf numFmtId="164" fontId="10" fillId="0" borderId="8" xfId="0" applyNumberFormat="1" applyFont="1" applyFill="1" applyBorder="1" applyAlignment="1" applyProtection="1">
      <alignment horizontal="center" vertical="center"/>
      <protection locked="0"/>
    </xf>
    <xf numFmtId="164" fontId="10" fillId="0" borderId="9" xfId="0" applyNumberFormat="1" applyFont="1" applyFill="1" applyBorder="1" applyAlignment="1" applyProtection="1">
      <alignment horizontal="center" vertical="center"/>
      <protection locked="0"/>
    </xf>
    <xf numFmtId="2" fontId="10" fillId="0" borderId="1" xfId="0" applyNumberFormat="1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vertical="top" wrapText="1"/>
      <protection locked="0"/>
    </xf>
    <xf numFmtId="0" fontId="10" fillId="0" borderId="0" xfId="0" applyFont="1" applyFill="1" applyBorder="1" applyAlignment="1" applyProtection="1">
      <alignment horizontal="left" vertical="top" wrapText="1"/>
      <protection locked="0"/>
    </xf>
    <xf numFmtId="0" fontId="34" fillId="0" borderId="41" xfId="0" applyFont="1" applyFill="1" applyBorder="1" applyAlignment="1" applyProtection="1">
      <alignment horizontal="right" vertical="center" wrapText="1"/>
      <protection locked="0"/>
    </xf>
    <xf numFmtId="0" fontId="34" fillId="0" borderId="40" xfId="0" applyFont="1" applyFill="1" applyBorder="1" applyAlignment="1" applyProtection="1">
      <alignment horizontal="left" vertical="top" wrapText="1"/>
      <protection locked="0"/>
    </xf>
    <xf numFmtId="0" fontId="34" fillId="0" borderId="40" xfId="0" applyFont="1" applyFill="1" applyBorder="1" applyAlignment="1" applyProtection="1">
      <alignment vertical="top" wrapText="1"/>
      <protection locked="0"/>
    </xf>
    <xf numFmtId="0" fontId="34" fillId="0" borderId="0" xfId="0" applyFont="1" applyFill="1" applyBorder="1" applyAlignment="1" applyProtection="1">
      <alignment vertical="center" wrapText="1"/>
      <protection locked="0"/>
    </xf>
    <xf numFmtId="0" fontId="40" fillId="0" borderId="40" xfId="0" applyFont="1" applyFill="1" applyBorder="1" applyAlignment="1" applyProtection="1">
      <alignment vertical="center" wrapText="1"/>
      <protection locked="0"/>
    </xf>
    <xf numFmtId="0" fontId="34" fillId="0" borderId="40" xfId="0" applyFont="1" applyFill="1" applyBorder="1" applyAlignment="1" applyProtection="1">
      <alignment vertical="center" wrapText="1"/>
      <protection locked="0"/>
    </xf>
    <xf numFmtId="49" fontId="39" fillId="0" borderId="0" xfId="0" quotePrefix="1" applyNumberFormat="1" applyFont="1" applyFill="1" applyBorder="1" applyAlignment="1" applyProtection="1">
      <alignment vertical="top" wrapText="1"/>
      <protection locked="0"/>
    </xf>
    <xf numFmtId="49" fontId="39" fillId="0" borderId="0" xfId="0" applyNumberFormat="1" applyFont="1" applyFill="1" applyBorder="1" applyAlignment="1" applyProtection="1">
      <alignment vertical="top" wrapText="1"/>
      <protection locked="0"/>
    </xf>
    <xf numFmtId="49" fontId="39" fillId="0" borderId="6" xfId="0" applyNumberFormat="1" applyFont="1" applyFill="1" applyBorder="1" applyAlignment="1" applyProtection="1">
      <alignment vertical="top" wrapText="1"/>
      <protection locked="0"/>
    </xf>
    <xf numFmtId="0" fontId="34" fillId="0" borderId="10" xfId="0" applyFont="1" applyFill="1" applyBorder="1" applyAlignment="1" applyProtection="1">
      <alignment horizontal="right" vertical="top" wrapText="1"/>
      <protection locked="0"/>
    </xf>
    <xf numFmtId="0" fontId="39" fillId="0" borderId="6" xfId="0" quotePrefix="1" applyFont="1" applyFill="1" applyBorder="1" applyAlignment="1" applyProtection="1">
      <alignment horizontal="left" vertical="top" wrapText="1"/>
      <protection locked="0"/>
    </xf>
    <xf numFmtId="0" fontId="39" fillId="0" borderId="6" xfId="0" applyFont="1" applyFill="1" applyBorder="1" applyAlignment="1" applyProtection="1">
      <alignment horizontal="left" vertical="top" wrapText="1"/>
      <protection locked="0"/>
    </xf>
    <xf numFmtId="0" fontId="39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49" fontId="7" fillId="0" borderId="1" xfId="0" applyNumberFormat="1" applyFont="1" applyBorder="1" applyAlignment="1" applyProtection="1">
      <alignment horizontal="center" vertical="center" wrapText="1"/>
      <protection locked="0"/>
    </xf>
    <xf numFmtId="49" fontId="7" fillId="0" borderId="0" xfId="0" applyNumberFormat="1" applyFont="1" applyAlignment="1" applyProtection="1">
      <alignment horizontal="center" vertical="center" wrapText="1"/>
      <protection locked="0"/>
    </xf>
    <xf numFmtId="0" fontId="10" fillId="0" borderId="10" xfId="0" applyFont="1" applyBorder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165" fontId="13" fillId="0" borderId="10" xfId="0" applyNumberFormat="1" applyFont="1" applyBorder="1" applyAlignment="1" applyProtection="1">
      <alignment horizontal="center" vertical="center"/>
      <protection locked="0"/>
    </xf>
    <xf numFmtId="2" fontId="14" fillId="0" borderId="10" xfId="0" applyNumberFormat="1" applyFont="1" applyBorder="1" applyAlignment="1" applyProtection="1">
      <alignment horizontal="center" vertical="center"/>
      <protection locked="0"/>
    </xf>
    <xf numFmtId="164" fontId="17" fillId="0" borderId="0" xfId="0" applyNumberFormat="1" applyFont="1" applyAlignment="1" applyProtection="1">
      <alignment horizontal="center" vertical="center"/>
      <protection locked="0"/>
    </xf>
    <xf numFmtId="164" fontId="17" fillId="0" borderId="0" xfId="0" applyNumberFormat="1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right" vertical="center" wrapText="1"/>
      <protection locked="0"/>
    </xf>
    <xf numFmtId="2" fontId="17" fillId="0" borderId="0" xfId="0" applyNumberFormat="1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left" vertical="center" wrapText="1"/>
      <protection locked="0"/>
    </xf>
    <xf numFmtId="165" fontId="17" fillId="0" borderId="0" xfId="0" applyNumberFormat="1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6" fillId="0" borderId="12" xfId="0" applyFont="1" applyFill="1" applyBorder="1" applyAlignment="1" applyProtection="1">
      <alignment horizontal="center" vertical="center" wrapText="1"/>
    </xf>
    <xf numFmtId="0" fontId="36" fillId="0" borderId="1" xfId="0" applyFont="1" applyFill="1" applyBorder="1" applyAlignment="1" applyProtection="1">
      <alignment vertical="center" wrapText="1"/>
    </xf>
    <xf numFmtId="0" fontId="33" fillId="0" borderId="41" xfId="0" applyFont="1" applyFill="1" applyBorder="1" applyAlignment="1" applyProtection="1">
      <alignment horizontal="center" vertical="center" wrapText="1"/>
    </xf>
    <xf numFmtId="0" fontId="33" fillId="0" borderId="40" xfId="0" applyFont="1" applyFill="1" applyBorder="1" applyAlignment="1" applyProtection="1">
      <alignment horizontal="center" vertical="center" wrapText="1"/>
    </xf>
    <xf numFmtId="0" fontId="33" fillId="0" borderId="4" xfId="0" applyFont="1" applyFill="1" applyBorder="1" applyAlignment="1" applyProtection="1">
      <alignment horizontal="center" vertical="center" wrapText="1"/>
    </xf>
    <xf numFmtId="2" fontId="36" fillId="0" borderId="12" xfId="0" applyNumberFormat="1" applyFont="1" applyFill="1" applyBorder="1" applyAlignment="1" applyProtection="1">
      <alignment horizontal="center" vertical="center" wrapText="1"/>
    </xf>
    <xf numFmtId="0" fontId="36" fillId="0" borderId="1" xfId="1" applyFont="1" applyFill="1" applyBorder="1" applyAlignment="1" applyProtection="1">
      <alignment horizontal="center" vertical="center" wrapText="1"/>
    </xf>
    <xf numFmtId="0" fontId="36" fillId="0" borderId="1" xfId="1" applyFont="1" applyFill="1" applyBorder="1" applyAlignment="1" applyProtection="1">
      <alignment horizontal="center" vertical="center"/>
    </xf>
    <xf numFmtId="0" fontId="36" fillId="0" borderId="9" xfId="0" applyFont="1" applyFill="1" applyBorder="1" applyAlignment="1" applyProtection="1">
      <alignment horizontal="center" vertical="center" wrapText="1"/>
    </xf>
    <xf numFmtId="0" fontId="36" fillId="0" borderId="1" xfId="0" applyFont="1" applyFill="1" applyBorder="1" applyAlignment="1" applyProtection="1">
      <alignment horizontal="center" vertical="center" wrapText="1"/>
    </xf>
    <xf numFmtId="0" fontId="36" fillId="0" borderId="2" xfId="0" applyFont="1" applyFill="1" applyBorder="1" applyAlignment="1" applyProtection="1">
      <alignment horizontal="center" vertical="center" wrapText="1"/>
    </xf>
    <xf numFmtId="0" fontId="18" fillId="0" borderId="1" xfId="0" applyFont="1" applyFill="1" applyBorder="1" applyAlignment="1" applyProtection="1">
      <alignment horizontal="center" vertical="center" wrapText="1"/>
    </xf>
    <xf numFmtId="0" fontId="33" fillId="0" borderId="1" xfId="0" applyFont="1" applyFill="1" applyBorder="1" applyAlignment="1" applyProtection="1">
      <alignment horizontal="center" vertical="center"/>
    </xf>
    <xf numFmtId="2" fontId="36" fillId="0" borderId="2" xfId="0" applyNumberFormat="1" applyFont="1" applyFill="1" applyBorder="1" applyAlignment="1" applyProtection="1">
      <alignment horizontal="center" vertical="center" wrapText="1"/>
    </xf>
    <xf numFmtId="0" fontId="36" fillId="0" borderId="1" xfId="0" applyFont="1" applyFill="1" applyBorder="1" applyAlignment="1" applyProtection="1">
      <alignment horizontal="center" vertical="center" wrapText="1"/>
    </xf>
    <xf numFmtId="0" fontId="33" fillId="0" borderId="1" xfId="0" applyFont="1" applyFill="1" applyBorder="1" applyAlignment="1" applyProtection="1">
      <alignment horizontal="center" vertical="center" wrapText="1"/>
    </xf>
    <xf numFmtId="0" fontId="36" fillId="0" borderId="9" xfId="0" applyFont="1" applyFill="1" applyBorder="1" applyAlignment="1" applyProtection="1">
      <alignment horizontal="center" vertical="center" wrapText="1"/>
    </xf>
    <xf numFmtId="0" fontId="0" fillId="0" borderId="0" xfId="3" applyFont="1"/>
    <xf numFmtId="49" fontId="0" fillId="0" borderId="0" xfId="3" applyNumberFormat="1" applyFont="1"/>
    <xf numFmtId="0" fontId="0" fillId="0" borderId="0" xfId="3" applyNumberFormat="1" applyFont="1"/>
    <xf numFmtId="0" fontId="1" fillId="0" borderId="0" xfId="3" applyNumberFormat="1" applyFill="1"/>
    <xf numFmtId="0" fontId="4" fillId="12" borderId="46" xfId="0" applyFont="1" applyFill="1" applyBorder="1" applyAlignment="1" applyProtection="1">
      <alignment horizontal="center" vertical="center" wrapText="1"/>
      <protection locked="0"/>
    </xf>
    <xf numFmtId="0" fontId="4" fillId="12" borderId="43" xfId="0" applyFont="1" applyFill="1" applyBorder="1" applyAlignment="1" applyProtection="1">
      <alignment horizontal="center" vertical="center" wrapText="1"/>
      <protection locked="0"/>
    </xf>
    <xf numFmtId="2" fontId="17" fillId="12" borderId="44" xfId="0" applyNumberFormat="1" applyFont="1" applyFill="1" applyBorder="1" applyAlignment="1" applyProtection="1">
      <alignment horizontal="center" vertical="center"/>
      <protection locked="0"/>
    </xf>
    <xf numFmtId="1" fontId="17" fillId="12" borderId="44" xfId="0" applyNumberFormat="1" applyFont="1" applyFill="1" applyBorder="1" applyAlignment="1" applyProtection="1">
      <alignment horizontal="center" vertical="center"/>
      <protection locked="0"/>
    </xf>
    <xf numFmtId="2" fontId="17" fillId="12" borderId="45" xfId="0" applyNumberFormat="1" applyFont="1" applyFill="1" applyBorder="1" applyAlignment="1" applyProtection="1">
      <alignment horizontal="center" vertical="center"/>
      <protection locked="0"/>
    </xf>
    <xf numFmtId="164" fontId="17" fillId="12" borderId="38" xfId="0" applyNumberFormat="1" applyFont="1" applyFill="1" applyBorder="1" applyAlignment="1" applyProtection="1">
      <alignment horizontal="center" vertical="center" wrapText="1"/>
      <protection locked="0"/>
    </xf>
    <xf numFmtId="1" fontId="17" fillId="12" borderId="38" xfId="0" applyNumberFormat="1" applyFont="1" applyFill="1" applyBorder="1" applyAlignment="1" applyProtection="1">
      <alignment horizontal="center" vertical="center"/>
      <protection locked="0"/>
    </xf>
    <xf numFmtId="2" fontId="17" fillId="12" borderId="38" xfId="0" applyNumberFormat="1" applyFont="1" applyFill="1" applyBorder="1" applyAlignment="1" applyProtection="1">
      <alignment horizontal="center" vertical="center"/>
      <protection locked="0"/>
    </xf>
    <xf numFmtId="2" fontId="17" fillId="12" borderId="39" xfId="0" applyNumberFormat="1" applyFont="1" applyFill="1" applyBorder="1" applyAlignment="1" applyProtection="1">
      <alignment horizontal="center" vertical="center"/>
      <protection locked="0"/>
    </xf>
    <xf numFmtId="2" fontId="4" fillId="12" borderId="49" xfId="0" applyNumberFormat="1" applyFont="1" applyFill="1" applyBorder="1" applyAlignment="1" applyProtection="1">
      <alignment horizontal="center" vertical="center"/>
      <protection locked="0"/>
    </xf>
    <xf numFmtId="2" fontId="4" fillId="12" borderId="16" xfId="0" applyNumberFormat="1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 vertical="center" wrapText="1"/>
      <protection locked="0"/>
    </xf>
    <xf numFmtId="0" fontId="42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6" xfId="0" applyFont="1" applyFill="1" applyBorder="1" applyAlignment="1" applyProtection="1">
      <alignment horizontal="center" vertical="center" wrapText="1"/>
      <protection locked="0"/>
    </xf>
    <xf numFmtId="0" fontId="10" fillId="0" borderId="18" xfId="0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6" fillId="0" borderId="46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164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left" vertical="center"/>
    </xf>
    <xf numFmtId="2" fontId="10" fillId="4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/>
    </xf>
    <xf numFmtId="2" fontId="41" fillId="4" borderId="1" xfId="0" applyNumberFormat="1" applyFont="1" applyFill="1" applyBorder="1" applyAlignment="1">
      <alignment horizontal="center" vertical="center" wrapText="1"/>
    </xf>
    <xf numFmtId="2" fontId="41" fillId="4" borderId="1" xfId="0" applyNumberFormat="1" applyFont="1" applyFill="1" applyBorder="1" applyAlignment="1">
      <alignment horizontal="center" vertical="center"/>
    </xf>
    <xf numFmtId="0" fontId="41" fillId="4" borderId="3" xfId="0" applyFont="1" applyFill="1" applyBorder="1" applyAlignment="1">
      <alignment horizontal="center" vertical="center" wrapText="1"/>
    </xf>
    <xf numFmtId="164" fontId="10" fillId="0" borderId="1" xfId="0" applyNumberFormat="1" applyFont="1" applyBorder="1" applyAlignment="1">
      <alignment horizontal="left" vertical="center" wrapText="1"/>
    </xf>
    <xf numFmtId="0" fontId="6" fillId="13" borderId="46" xfId="0" applyFont="1" applyFill="1" applyBorder="1" applyAlignment="1" applyProtection="1">
      <alignment horizontal="center" vertical="center" wrapText="1"/>
      <protection locked="0"/>
    </xf>
    <xf numFmtId="0" fontId="6" fillId="13" borderId="50" xfId="0" applyFont="1" applyFill="1" applyBorder="1" applyAlignment="1" applyProtection="1">
      <alignment horizontal="center" vertical="center" wrapText="1"/>
      <protection locked="0"/>
    </xf>
    <xf numFmtId="49" fontId="6" fillId="13" borderId="46" xfId="0" applyNumberFormat="1" applyFont="1" applyFill="1" applyBorder="1" applyAlignment="1" applyProtection="1">
      <alignment horizontal="center" vertical="center" wrapText="1"/>
      <protection locked="0"/>
    </xf>
    <xf numFmtId="49" fontId="6" fillId="13" borderId="50" xfId="0" applyNumberFormat="1" applyFont="1" applyFill="1" applyBorder="1" applyAlignment="1" applyProtection="1">
      <alignment horizontal="center" vertical="center" wrapText="1"/>
      <protection locked="0"/>
    </xf>
    <xf numFmtId="3" fontId="11" fillId="4" borderId="2" xfId="0" applyNumberFormat="1" applyFont="1" applyFill="1" applyBorder="1" applyAlignment="1" applyProtection="1">
      <alignment horizontal="center" vertical="center"/>
      <protection locked="0"/>
    </xf>
    <xf numFmtId="4" fontId="7" fillId="0" borderId="13" xfId="0" applyNumberFormat="1" applyFont="1" applyBorder="1" applyAlignment="1" applyProtection="1">
      <alignment horizontal="center" vertical="center"/>
      <protection locked="0"/>
    </xf>
    <xf numFmtId="49" fontId="7" fillId="0" borderId="13" xfId="0" applyNumberFormat="1" applyFont="1" applyBorder="1" applyAlignment="1" applyProtection="1">
      <alignment horizontal="center" vertical="center"/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10" fillId="4" borderId="3" xfId="0" applyNumberFormat="1" applyFont="1" applyFill="1" applyBorder="1" applyAlignment="1">
      <alignment horizontal="center" vertical="center" wrapText="1"/>
    </xf>
    <xf numFmtId="0" fontId="10" fillId="4" borderId="1" xfId="0" applyNumberFormat="1" applyFont="1" applyFill="1" applyBorder="1" applyAlignment="1">
      <alignment horizontal="center" vertical="center"/>
    </xf>
    <xf numFmtId="49" fontId="23" fillId="5" borderId="51" xfId="3" applyNumberFormat="1" applyFont="1" applyFill="1" applyBorder="1" applyAlignment="1">
      <alignment horizontal="center" vertical="center" wrapText="1"/>
    </xf>
    <xf numFmtId="49" fontId="23" fillId="5" borderId="52" xfId="3" applyNumberFormat="1" applyFont="1" applyFill="1" applyBorder="1" applyAlignment="1">
      <alignment horizontal="center" vertical="center" wrapText="1"/>
    </xf>
    <xf numFmtId="49" fontId="23" fillId="5" borderId="53" xfId="3" applyNumberFormat="1" applyFont="1" applyFill="1" applyBorder="1" applyAlignment="1">
      <alignment horizontal="center" vertical="center" wrapText="1"/>
    </xf>
    <xf numFmtId="49" fontId="0" fillId="11" borderId="54" xfId="3" applyNumberFormat="1" applyFont="1" applyFill="1" applyBorder="1" applyAlignment="1">
      <alignment horizontal="center"/>
    </xf>
    <xf numFmtId="49" fontId="22" fillId="11" borderId="32" xfId="3" applyNumberFormat="1" applyFont="1" applyFill="1" applyBorder="1" applyAlignment="1">
      <alignment horizontal="center" vertical="center"/>
    </xf>
    <xf numFmtId="49" fontId="22" fillId="11" borderId="55" xfId="3" applyNumberFormat="1" applyFont="1" applyFill="1" applyBorder="1" applyAlignment="1">
      <alignment horizontal="center" vertical="center"/>
    </xf>
    <xf numFmtId="49" fontId="0" fillId="0" borderId="54" xfId="3" applyNumberFormat="1" applyFont="1" applyBorder="1" applyAlignment="1">
      <alignment horizontal="center"/>
    </xf>
    <xf numFmtId="49" fontId="22" fillId="0" borderId="55" xfId="3" applyNumberFormat="1" applyFont="1" applyBorder="1" applyAlignment="1">
      <alignment horizontal="center" vertical="center"/>
    </xf>
    <xf numFmtId="49" fontId="0" fillId="0" borderId="56" xfId="3" applyNumberFormat="1" applyFont="1" applyBorder="1" applyAlignment="1">
      <alignment horizontal="center"/>
    </xf>
    <xf numFmtId="49" fontId="22" fillId="0" borderId="57" xfId="3" applyNumberFormat="1" applyFont="1" applyBorder="1" applyAlignment="1">
      <alignment horizontal="center" vertical="center"/>
    </xf>
    <xf numFmtId="49" fontId="22" fillId="0" borderId="48" xfId="3" applyNumberFormat="1" applyFont="1" applyBorder="1" applyAlignment="1">
      <alignment horizontal="center" vertical="center"/>
    </xf>
    <xf numFmtId="49" fontId="13" fillId="0" borderId="1" xfId="0" applyNumberFormat="1" applyFont="1" applyBorder="1" applyAlignment="1" applyProtection="1">
      <alignment horizontal="center" vertical="center" wrapText="1"/>
      <protection locked="0"/>
    </xf>
    <xf numFmtId="49" fontId="21" fillId="0" borderId="0" xfId="0" applyNumberFormat="1" applyFont="1" applyAlignment="1">
      <alignment vertical="center"/>
    </xf>
    <xf numFmtId="49" fontId="0" fillId="0" borderId="0" xfId="0" applyNumberFormat="1"/>
  </cellXfs>
  <cellStyles count="5">
    <cellStyle name="Normal" xfId="0" builtinId="0"/>
    <cellStyle name="Normal 2" xfId="2" xr:uid="{7F954F35-7755-470C-A54C-4850B9E031B7}"/>
    <cellStyle name="Normal 3" xfId="1" xr:uid="{71622DCE-0BF4-4B37-B732-0D33EC374F4B}"/>
    <cellStyle name="Normal 4" xfId="3" xr:uid="{C1875AFE-7536-44BD-84E2-DCFDB647615F}"/>
    <cellStyle name="Normal 7" xfId="4" xr:uid="{120C5300-5657-4694-87F6-DF1C18DA3CED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color theme="5" tint="-0.24994659260841701"/>
      </font>
    </dxf>
    <dxf>
      <font>
        <color rgb="FFCC2AB9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3" tint="0.499984740745262"/>
        </patternFill>
      </fill>
    </dxf>
    <dxf>
      <font>
        <color auto="1"/>
      </font>
      <fill>
        <patternFill>
          <bgColor rgb="FFFFC000"/>
        </patternFill>
      </fill>
    </dxf>
    <dxf>
      <font>
        <color theme="5" tint="-0.24994659260841701"/>
      </font>
    </dxf>
    <dxf>
      <font>
        <color rgb="FFCC2AB9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3" tint="0.499984740745262"/>
        </patternFill>
      </fill>
    </dxf>
    <dxf>
      <font>
        <color auto="1"/>
      </font>
      <fill>
        <patternFill>
          <bgColor rgb="FFFFC000"/>
        </patternFill>
      </fill>
    </dxf>
    <dxf>
      <font>
        <color theme="5" tint="-0.24994659260841701"/>
      </font>
    </dxf>
    <dxf>
      <font>
        <color rgb="FFCC2AB9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3" tint="0.499984740745262"/>
        </patternFill>
      </fill>
    </dxf>
    <dxf>
      <font>
        <color auto="1"/>
      </font>
      <fill>
        <patternFill>
          <bgColor rgb="FFFFC000"/>
        </patternFill>
      </fill>
    </dxf>
    <dxf>
      <font>
        <color theme="5" tint="-0.24994659260841701"/>
      </font>
    </dxf>
    <dxf>
      <font>
        <color rgb="FFCC2AB9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3" tint="0.499984740745262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30" formatCode="@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uble">
          <color auto="1"/>
        </right>
        <top/>
        <bottom style="thin">
          <color auto="1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double">
          <color auto="1"/>
        </left>
        <right/>
        <top/>
        <bottom style="thin">
          <color auto="1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uble">
          <color auto="1"/>
        </right>
        <top/>
        <bottom style="thin">
          <color auto="1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double">
          <color auto="1"/>
        </left>
        <top style="double">
          <color auto="1"/>
        </top>
        <bottom style="double">
          <color auto="1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/>
      </border>
    </dxf>
    <dxf>
      <numFmt numFmtId="30" formatCode="@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/>
      </border>
    </dxf>
    <dxf>
      <alignment horizontal="center" vertical="center"/>
      <border>
        <left style="thin">
          <color auto="1"/>
        </left>
        <right style="thin">
          <color auto="1"/>
        </right>
        <top/>
        <bottom/>
      </border>
    </dxf>
    <dxf>
      <alignment horizontal="center" vertical="center"/>
      <border>
        <left style="thin">
          <color auto="1"/>
        </left>
        <right/>
        <top/>
        <bottom/>
      </border>
    </dxf>
    <dxf>
      <alignment horizontal="center" vertical="center"/>
      <border>
        <left style="thin">
          <color auto="1"/>
        </left>
        <right style="thin">
          <color auto="1"/>
        </right>
        <top/>
        <bottom/>
      </border>
    </dxf>
    <dxf>
      <alignment horizontal="center" vertical="center"/>
      <border>
        <left style="thin">
          <color auto="1"/>
        </left>
        <right style="thin">
          <color auto="1"/>
        </right>
        <top/>
        <bottom/>
      </border>
    </dxf>
    <dxf>
      <alignment horizontal="center" vertical="center"/>
      <border>
        <left style="thin">
          <color auto="1"/>
        </left>
        <right style="thin">
          <color auto="1"/>
        </right>
        <top/>
        <bottom/>
      </border>
    </dxf>
    <dxf>
      <alignment horizontal="center" vertical="center"/>
      <border>
        <left/>
        <right style="thin">
          <color auto="1"/>
        </right>
        <top/>
        <bottom/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30" formatCode="@"/>
      <fill>
        <patternFill patternType="solid">
          <fgColor theme="4" tint="0.79995117038483843"/>
          <bgColor theme="4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30" formatCode="@"/>
      <fill>
        <patternFill patternType="solid">
          <fgColor theme="4" tint="0.79995117038483843"/>
          <bgColor theme="4" tint="0.7999511703848384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0" formatCode="General"/>
      <alignment horizontal="center"/>
      <border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numFmt numFmtId="0" formatCode="General"/>
    </dxf>
    <dxf>
      <numFmt numFmtId="0" formatCode="General"/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30" formatCode="@"/>
      <alignment horizont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30" formatCode="@"/>
      <alignment horizont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30" formatCode="@"/>
      <alignment horizont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</dxfs>
  <tableStyles count="0" defaultTableStyle="TableStyleMedium2" defaultPivotStyle="PivotStyleLight16"/>
  <colors>
    <mruColors>
      <color rgb="FFCC2A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87289</xdr:colOff>
      <xdr:row>1</xdr:row>
      <xdr:rowOff>3</xdr:rowOff>
    </xdr:from>
    <xdr:to>
      <xdr:col>31</xdr:col>
      <xdr:colOff>5682</xdr:colOff>
      <xdr:row>19</xdr:row>
      <xdr:rowOff>8834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AAAF41-9ADA-4FD5-BBC0-A27404A3E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49432" y="544289"/>
          <a:ext cx="4680893" cy="445836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9.%20Githup\from%20moi%203.xlsm" TargetMode="External"/><Relationship Id="rId1" Type="http://schemas.openxmlformats.org/officeDocument/2006/relationships/externalLinkPath" Target="/09.%20Githup/from%20moi%20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y%20Drive\00.%20Data\06.%20Module%20Excel\CheckSize_Cable_Counduit.xlam" TargetMode="External"/><Relationship Id="rId1" Type="http://schemas.openxmlformats.org/officeDocument/2006/relationships/externalLinkPath" Target="file:///H:\My%20Drive\00.%20Data\06.%20Module%20Excel\CheckSize_Cable_Coundu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ID BLOCK"/>
      <sheetName val="SYSTEM_DB"/>
      <sheetName val="FROM PRINT"/>
      <sheetName val="FROM PRINT(OLD)"/>
      <sheetName val="LV- MSB.BXN"/>
      <sheetName val="LV- MSB.BXN (PCCC)"/>
      <sheetName val="MCP-B2F-FAF.Z1"/>
      <sheetName val="MCP-B2F-FAF.Z2"/>
      <sheetName val="MCP-B2F-FAF.Z3"/>
      <sheetName val="MCP-B2F-FAF.Z4"/>
      <sheetName val="MCP-B2F-FAF.Z5"/>
      <sheetName val="MCP-B2F-FAF.Z6"/>
      <sheetName val="MCP-B2F-FAF.Z7"/>
      <sheetName val="MCP-B2F-FAF.Z8"/>
      <sheetName val="MCP-B2F-FAF.Z9"/>
      <sheetName val="MCP-B2F-SEAF.Z1"/>
      <sheetName val="MCP-B2F-SEAF.Z2"/>
      <sheetName val="MCP-B2F-SEAF.Z3"/>
      <sheetName val="MCP-B2F-SEAF.Z4"/>
      <sheetName val="MCP-B2F-SEAF.Z5"/>
      <sheetName val="MCP-B2F-SEAF.Z6"/>
      <sheetName val="MCP-B2F-SEAF.Z7"/>
      <sheetName val="MCP-B2F-SEAF.Z8"/>
      <sheetName val="MCP-B2F-SEAF.Z9"/>
      <sheetName val="MCP-B1F-FAF.Z1"/>
      <sheetName val="MCP-B1F-FAF.Z2"/>
      <sheetName val="MCP-B1F-FAF.Z3"/>
      <sheetName val="MCP-B1F-FAF.Z4"/>
      <sheetName val="MCP-B1F-FAF.Z5"/>
      <sheetName val="MCP-B1F-FAF.Z6"/>
      <sheetName val="MCP-B1F-FAF.Z7"/>
      <sheetName val="MCP-B1F-FAF.Z8"/>
      <sheetName val="MCP-B1F-FAF.Z9"/>
      <sheetName val="MCP-B1F-SEAF.Z1"/>
      <sheetName val="MCP-B1F-SEAF.Z2"/>
      <sheetName val="MCP-B1F-SEAF.Z3"/>
      <sheetName val="MCP-B1F-SEAF.Z4"/>
      <sheetName val="MCP-B1F-SEAF.Z5"/>
      <sheetName val="MCP-B1F-SEAF.Z6"/>
      <sheetName val="MCP-B1F-SEAF.Z7"/>
      <sheetName val="MCP-B1F-SEAF.Z8"/>
      <sheetName val="MCP-B1F-SEAF.Z9"/>
      <sheetName val="MCP-B1F-FUEL"/>
      <sheetName val="DB-B2F-SP.FR-1"/>
      <sheetName val="DB-B2F-SP.FR-2"/>
      <sheetName val="DB-B2F-SP.FR-3"/>
      <sheetName val="MCP-B2F-SP.01"/>
      <sheetName val="MCP-B2F-STP.1"/>
      <sheetName val="MCP-B2F-STP.2"/>
      <sheetName val="MCP-B2F-STP.3"/>
      <sheetName val="MCP-B1F-FP.1"/>
      <sheetName val="MCP-B1F-FP.2"/>
      <sheetName val="MCP-B1F-FP.3"/>
      <sheetName val="DB-B2F-Z1"/>
      <sheetName val="DB-B2F-Z2"/>
      <sheetName val="DB-B2F-Z3"/>
      <sheetName val="DB-B2F-Z4"/>
      <sheetName val="DB-B2F-Z5"/>
      <sheetName val="DB-B1F-ELV"/>
      <sheetName val="DB-B1F-FCC"/>
      <sheetName val="DB-B1F-FM200"/>
      <sheetName val="DB-B1F-Z1"/>
      <sheetName val="DB-B1F-Z2"/>
      <sheetName val="DB-B1F-Z3"/>
      <sheetName val="DB-B1F-Z4"/>
      <sheetName val="DB-B1F-Z5"/>
      <sheetName val="DB-B1F-OF"/>
      <sheetName val="DB-B2F.EX-Z1"/>
      <sheetName val="DB-B2F.EX-Z2"/>
      <sheetName val="DB-B2F.EX-Z3"/>
      <sheetName val="DB-B2F.EX-Z4"/>
      <sheetName val="DB-B2F.EX-Z5"/>
      <sheetName val="DB-B1F.EX-Z1"/>
      <sheetName val="DB-B1F.EX-Z2"/>
      <sheetName val="DB-B1F.EX-Z3"/>
      <sheetName val="DB-B1F.EX-Z4"/>
      <sheetName val="DB-B1F.EX-Z5"/>
      <sheetName val="Spec. Cable"/>
      <sheetName val="xxxx"/>
      <sheetName val="Sheet6"/>
      <sheetName val="Setting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>
        <row r="1">
          <cell r="G1" t="str">
            <v>MCP-B2F-FAF.Z2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GIÓ TƯƠI B2F_KHOANG 2
POWER SUPPLY FOR THE FRESH AIR FAN B2F_ZONE 2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FRESH AIR FAN B2F_ZONE 2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FRESH AIR FAN FOR BASEMENT 2_ZONE 2(VSD)</v>
          </cell>
          <cell r="H6">
            <v>13.75</v>
          </cell>
          <cell r="I6">
            <v>4.58</v>
          </cell>
          <cell r="J6">
            <v>4.58</v>
          </cell>
          <cell r="K6">
            <v>4.58</v>
          </cell>
          <cell r="M6" t="str">
            <v>MCCB</v>
          </cell>
          <cell r="N6" t="str">
            <v>3P</v>
          </cell>
          <cell r="O6" t="str">
            <v>32A</v>
          </cell>
          <cell r="P6" t="str">
            <v>18kA</v>
          </cell>
          <cell r="Q6" t="str">
            <v>3x(1Cx6.0) Cu/Mica/XLPE/LSZH</v>
          </cell>
          <cell r="R6" t="str">
            <v>(1Cx6.0) Cu/PVC</v>
          </cell>
          <cell r="S6" t="str">
            <v>IN CABLE TRAY</v>
          </cell>
        </row>
        <row r="7">
          <cell r="G7" t="str">
            <v>FRESH AIR FAN FOR BASEMENT 2_ZONE 2(VSD)</v>
          </cell>
          <cell r="H7">
            <v>13.75</v>
          </cell>
          <cell r="I7">
            <v>4.58</v>
          </cell>
          <cell r="J7">
            <v>4.58</v>
          </cell>
          <cell r="K7">
            <v>4.58</v>
          </cell>
          <cell r="M7" t="str">
            <v>MCCB</v>
          </cell>
          <cell r="N7" t="str">
            <v>3P</v>
          </cell>
          <cell r="O7" t="str">
            <v>32A</v>
          </cell>
          <cell r="P7" t="str">
            <v>18kA</v>
          </cell>
          <cell r="Q7" t="str">
            <v>3x(1Cx6.0) Cu/Mica/XLPE/LSZH</v>
          </cell>
          <cell r="R7" t="str">
            <v>(1Cx6.0) Cu/PVC</v>
          </cell>
          <cell r="S7" t="str">
            <v>IN CABLE TRAY</v>
          </cell>
        </row>
        <row r="8">
          <cell r="G8" t="str">
            <v>PRESSURIZATION AIR FAN(VSD)</v>
          </cell>
          <cell r="H8">
            <v>13.75</v>
          </cell>
          <cell r="I8">
            <v>4.58</v>
          </cell>
          <cell r="J8">
            <v>4.58</v>
          </cell>
          <cell r="K8">
            <v>4.58</v>
          </cell>
          <cell r="M8" t="str">
            <v>MCCB</v>
          </cell>
          <cell r="N8" t="str">
            <v>3P</v>
          </cell>
          <cell r="O8" t="str">
            <v>32A</v>
          </cell>
          <cell r="P8" t="str">
            <v>18kA</v>
          </cell>
          <cell r="Q8" t="str">
            <v>3x(1Cx6.0) Cu/Mica/XLPE/LSZH</v>
          </cell>
          <cell r="R8" t="str">
            <v>(1Cx6.0) Cu/PVC</v>
          </cell>
          <cell r="S8" t="str">
            <v>IN CABLE TRAY</v>
          </cell>
        </row>
        <row r="9">
          <cell r="G9" t="str">
            <v>FIRE RATED ROLLER SHUTTER</v>
          </cell>
          <cell r="H9">
            <v>1.25</v>
          </cell>
          <cell r="I9">
            <v>1.25</v>
          </cell>
          <cell r="M9" t="str">
            <v>MCB</v>
          </cell>
          <cell r="N9" t="str">
            <v>2P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POWER SUPPLY AIR VALVE</v>
          </cell>
          <cell r="H10">
            <v>0.63</v>
          </cell>
          <cell r="J10">
            <v>0.63</v>
          </cell>
          <cell r="M10" t="str">
            <v>MCB</v>
          </cell>
          <cell r="N10" t="str">
            <v>1P</v>
          </cell>
          <cell r="O10" t="str">
            <v>16A</v>
          </cell>
          <cell r="P10" t="str">
            <v>6kA</v>
          </cell>
          <cell r="Q10" t="str">
            <v>2x(1Cx2.5) Cu/Mica/XLPE/LSZH</v>
          </cell>
          <cell r="R10" t="str">
            <v>(1Cx2.5) Cu/PVC</v>
          </cell>
          <cell r="S10" t="str">
            <v>IN PVC CONDUIT D25</v>
          </cell>
        </row>
        <row r="11">
          <cell r="G11" t="str">
            <v>CONTROL</v>
          </cell>
          <cell r="H11">
            <v>0.5</v>
          </cell>
          <cell r="K11">
            <v>0.5</v>
          </cell>
          <cell r="M11" t="str">
            <v>MCB</v>
          </cell>
          <cell r="N11" t="str">
            <v>1P</v>
          </cell>
          <cell r="O11" t="str">
            <v>16A</v>
          </cell>
          <cell r="P11" t="str">
            <v>6kA</v>
          </cell>
        </row>
        <row r="13">
          <cell r="G13" t="str">
            <v>TỔNG CÔNG SUẤT ĐỊNH MỨC
TOTAL RATE POWER (kVA)</v>
          </cell>
          <cell r="H13">
            <v>43.63</v>
          </cell>
          <cell r="I13">
            <v>14.99</v>
          </cell>
          <cell r="J13">
            <v>14.37</v>
          </cell>
          <cell r="K13">
            <v>14.24</v>
          </cell>
          <cell r="Q13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4">
          <cell r="G14" t="str">
            <v xml:space="preserve"> HỆ SỐ ĐỒNG THỜI
DIVERSITY FACTOR (Ks)</v>
          </cell>
          <cell r="H14">
            <v>1</v>
          </cell>
        </row>
        <row r="15">
          <cell r="G15" t="str">
            <v>TỔNG CÔNG SUẤT TÍNH TOÁN
TOTAL CALCULATED POWER (kVA)</v>
          </cell>
          <cell r="H15">
            <v>43.63</v>
          </cell>
          <cell r="I15">
            <v>14.99</v>
          </cell>
          <cell r="J15">
            <v>14.37</v>
          </cell>
          <cell r="K15">
            <v>14.24</v>
          </cell>
        </row>
        <row r="16">
          <cell r="G16" t="str">
            <v>DÒNG ĐIỆN TÍNH TOÁN
TOTAL CALCULATED CURRENT (A)</v>
          </cell>
          <cell r="H16">
            <v>68.14</v>
          </cell>
        </row>
        <row r="17">
          <cell r="G17" t="str">
            <v>LỘ VÀO
INCOMMING</v>
          </cell>
          <cell r="M17" t="str">
            <v>THIẾT BỊ BẢO VỆ TỔNG
MAIN CIRCUIT BRAKER</v>
          </cell>
          <cell r="Q17" t="str">
            <v>CÁP ĐIỆN/ THANH DẪN TỔNG
INCOMMING CABLE/ BUSDUCT</v>
          </cell>
          <cell r="S17" t="str">
            <v>GIẢI PHÁP LẮP ĐẶT
INSTALLATION METHOD</v>
          </cell>
        </row>
        <row r="18">
          <cell r="G18" t="str">
            <v>FROM LV-MSB</v>
          </cell>
          <cell r="M18" t="str">
            <v>MCCB</v>
          </cell>
          <cell r="N18" t="str">
            <v>3P</v>
          </cell>
          <cell r="O18" t="str">
            <v>100A</v>
          </cell>
          <cell r="P18" t="str">
            <v>25kA</v>
          </cell>
          <cell r="Q18" t="str">
            <v>4x(1Cx35) Cu/Mica/XLPE/LSZH</v>
          </cell>
          <cell r="R18" t="str">
            <v>(1Cx16) Cu/PVC</v>
          </cell>
          <cell r="S18" t="str">
            <v>IN CABLE TRAY</v>
          </cell>
        </row>
        <row r="19">
          <cell r="Q19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20">
          <cell r="G20" t="str">
            <v>3P</v>
          </cell>
          <cell r="H20" t="str">
            <v>100A</v>
          </cell>
          <cell r="I20" t="str">
            <v>25kA</v>
          </cell>
          <cell r="J20" t="str">
            <v>4x(1Cx35) Cu/Mica/XLPE/LSZH</v>
          </cell>
          <cell r="K20" t="str">
            <v>(1Cx16) Cu/PVC</v>
          </cell>
        </row>
        <row r="21">
          <cell r="G21" t="str">
            <v>100A</v>
          </cell>
          <cell r="H21" t="str">
            <v>25kA</v>
          </cell>
          <cell r="I21" t="str">
            <v>100/5A</v>
          </cell>
          <cell r="J21" t="str">
            <v>0-100A</v>
          </cell>
        </row>
      </sheetData>
      <sheetData sheetId="9">
        <row r="1">
          <cell r="G1" t="str">
            <v>MCP-B2F-FAF.Z3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GIÓ TƯƠI B2F_KHOANG 3
POWER SUPPLY FOR THE FRESH AIR FAN B2F_ZONE 3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FRESH AIR FAN B2F_ZONE 3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FRESH AIR FAN FOR BASEMENT 2_ZONE 3(VSD)</v>
          </cell>
          <cell r="H6">
            <v>13.75</v>
          </cell>
          <cell r="I6">
            <v>4.58</v>
          </cell>
          <cell r="J6">
            <v>4.58</v>
          </cell>
          <cell r="K6">
            <v>4.58</v>
          </cell>
          <cell r="M6" t="str">
            <v>MCCB</v>
          </cell>
          <cell r="N6" t="str">
            <v>3P</v>
          </cell>
          <cell r="O6" t="str">
            <v>32A</v>
          </cell>
          <cell r="P6" t="str">
            <v>18kA</v>
          </cell>
          <cell r="Q6" t="str">
            <v>3x(1Cx6.0) Cu/Mica/XLPE/LSZH</v>
          </cell>
          <cell r="R6" t="str">
            <v>(1Cx6.0) Cu/PVC</v>
          </cell>
          <cell r="S6" t="str">
            <v>IN CABLE TRAY</v>
          </cell>
        </row>
        <row r="7">
          <cell r="G7" t="str">
            <v>FRESH AIR FAN FOR BASEMENT 2_ZONE 3 (VSD)</v>
          </cell>
          <cell r="H7">
            <v>13.75</v>
          </cell>
          <cell r="I7">
            <v>4.58</v>
          </cell>
          <cell r="J7">
            <v>4.58</v>
          </cell>
          <cell r="K7">
            <v>4.58</v>
          </cell>
          <cell r="M7" t="str">
            <v>MCCB</v>
          </cell>
          <cell r="N7" t="str">
            <v>3P</v>
          </cell>
          <cell r="O7" t="str">
            <v>32A</v>
          </cell>
          <cell r="P7" t="str">
            <v>18kA</v>
          </cell>
          <cell r="Q7" t="str">
            <v>3x(1Cx6.0) Cu/Mica/XLPE/LSZH</v>
          </cell>
          <cell r="R7" t="str">
            <v>(1Cx6.0)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FIRE RATED ROLLER SHUTTER</v>
          </cell>
          <cell r="H9">
            <v>1.25</v>
          </cell>
          <cell r="J9">
            <v>1.25</v>
          </cell>
          <cell r="M9" t="str">
            <v>MCB</v>
          </cell>
          <cell r="N9" t="str">
            <v>2P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POWER SUPPLY AIR VALVE</v>
          </cell>
          <cell r="H10">
            <v>0.63</v>
          </cell>
          <cell r="K10">
            <v>0.63</v>
          </cell>
          <cell r="M10" t="str">
            <v>MCB</v>
          </cell>
          <cell r="N10" t="str">
            <v>1P</v>
          </cell>
          <cell r="O10" t="str">
            <v>16A</v>
          </cell>
          <cell r="P10" t="str">
            <v>6kA</v>
          </cell>
          <cell r="Q10" t="str">
            <v>2x(1Cx2.5) Cu/Mica/XLPE/LSZH</v>
          </cell>
          <cell r="R10" t="str">
            <v>(1Cx2.5) Cu/PVC</v>
          </cell>
          <cell r="S10" t="str">
            <v>IN PVC CONDUIT D25</v>
          </cell>
        </row>
        <row r="11">
          <cell r="G11" t="str">
            <v>CONTROL</v>
          </cell>
          <cell r="H11">
            <v>0.5</v>
          </cell>
          <cell r="J11">
            <v>0.5</v>
          </cell>
          <cell r="M11" t="str">
            <v>MCB</v>
          </cell>
          <cell r="N11" t="str">
            <v>1P</v>
          </cell>
          <cell r="O11" t="str">
            <v>16A</v>
          </cell>
          <cell r="P11" t="str">
            <v>6kA</v>
          </cell>
        </row>
        <row r="13">
          <cell r="G13" t="str">
            <v>TỔNG CÔNG SUẤT ĐỊNH MỨC
TOTAL RATE POWER (kVA)</v>
          </cell>
          <cell r="H13">
            <v>31.13</v>
          </cell>
          <cell r="I13">
            <v>10.41</v>
          </cell>
          <cell r="J13">
            <v>10.91</v>
          </cell>
          <cell r="K13">
            <v>9.7899999999999991</v>
          </cell>
          <cell r="Q13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4">
          <cell r="G14" t="str">
            <v xml:space="preserve"> HỆ SỐ ĐỒNG THỜI
DIVERSITY FACTOR (Ks)</v>
          </cell>
          <cell r="H14">
            <v>1</v>
          </cell>
        </row>
        <row r="15">
          <cell r="G15" t="str">
            <v>TỔNG CÔNG SUẤT TÍNH TOÁN
TOTAL CALCULATED POWER (kVA)</v>
          </cell>
          <cell r="H15">
            <v>31.13</v>
          </cell>
          <cell r="I15">
            <v>10.41</v>
          </cell>
          <cell r="J15">
            <v>10.91</v>
          </cell>
          <cell r="K15">
            <v>9.7899999999999991</v>
          </cell>
        </row>
        <row r="16">
          <cell r="G16" t="str">
            <v>DÒNG ĐIỆN TÍNH TOÁN
TOTAL CALCULATED CURRENT (A)</v>
          </cell>
          <cell r="H16">
            <v>49.59</v>
          </cell>
        </row>
        <row r="17">
          <cell r="G17" t="str">
            <v>LỘ VÀO
INCOMMING</v>
          </cell>
          <cell r="M17" t="str">
            <v>THIẾT BỊ BẢO VỆ TỔNG
MAIN CIRCUIT BRAKER</v>
          </cell>
          <cell r="Q17" t="str">
            <v>CÁP ĐIỆN/ THANH DẪN TỔNG
INCOMMING CABLE/ BUSDUCT</v>
          </cell>
          <cell r="S17" t="str">
            <v>GIẢI PHÁP LẮP ĐẶT
INSTALLATION METHOD</v>
          </cell>
        </row>
        <row r="18">
          <cell r="G18" t="str">
            <v>FROM LV-MSB</v>
          </cell>
          <cell r="M18" t="str">
            <v>MCCB</v>
          </cell>
          <cell r="N18" t="str">
            <v>3P</v>
          </cell>
          <cell r="O18" t="str">
            <v>80A</v>
          </cell>
          <cell r="P18" t="str">
            <v>25kA</v>
          </cell>
          <cell r="Q18" t="str">
            <v>4x(1Cx25) Cu/Mica/XLPE/LSZH</v>
          </cell>
          <cell r="R18" t="str">
            <v>(1Cx16) Cu/PVC</v>
          </cell>
          <cell r="S18" t="str">
            <v>IN CABLE TRAY</v>
          </cell>
        </row>
        <row r="19">
          <cell r="Q19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20">
          <cell r="G20" t="str">
            <v>3P</v>
          </cell>
          <cell r="H20" t="str">
            <v>80A</v>
          </cell>
          <cell r="I20" t="str">
            <v>25kA</v>
          </cell>
          <cell r="J20" t="str">
            <v>4x(1Cx25) Cu/Mica/XLPE/LSZH</v>
          </cell>
          <cell r="K20" t="str">
            <v>(1Cx16) Cu/PVC</v>
          </cell>
        </row>
        <row r="21">
          <cell r="G21" t="str">
            <v>80A</v>
          </cell>
          <cell r="H21" t="str">
            <v>25kA</v>
          </cell>
          <cell r="I21" t="str">
            <v>80/5A</v>
          </cell>
          <cell r="J21" t="str">
            <v>0-80A</v>
          </cell>
        </row>
      </sheetData>
      <sheetData sheetId="10">
        <row r="1">
          <cell r="G1" t="str">
            <v>MCP-B2F-FAF.Z4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GIÓ TƯƠI B2F_KHOANG 4
POWER SUPPLY FOR THE FRESH AIR FAN B2F_ZONE 4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FRESH AIR FAN B2F_ZONE 4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FRESH AIR FAN FOR BASEMENT 2_ZONE 4(VSD)</v>
          </cell>
          <cell r="H6">
            <v>13.75</v>
          </cell>
          <cell r="I6">
            <v>4.58</v>
          </cell>
          <cell r="J6">
            <v>4.58</v>
          </cell>
          <cell r="K6">
            <v>4.58</v>
          </cell>
          <cell r="M6" t="str">
            <v>MCCB</v>
          </cell>
          <cell r="N6" t="str">
            <v>3P</v>
          </cell>
          <cell r="O6" t="str">
            <v>32A</v>
          </cell>
          <cell r="P6" t="str">
            <v>18kA</v>
          </cell>
          <cell r="Q6" t="str">
            <v>3x(1Cx6.0) Cu/Mica/XLPE/LSZH</v>
          </cell>
          <cell r="R6" t="str">
            <v>(1Cx6.0) Cu/PVC</v>
          </cell>
          <cell r="S6" t="str">
            <v>IN CABLE TRAY</v>
          </cell>
        </row>
        <row r="7">
          <cell r="G7" t="str">
            <v>FRESH AIR FAN FOR BASEMENT 2_ZONE 4(VSD)</v>
          </cell>
          <cell r="H7">
            <v>13.75</v>
          </cell>
          <cell r="I7">
            <v>4.58</v>
          </cell>
          <cell r="J7">
            <v>4.58</v>
          </cell>
          <cell r="K7">
            <v>4.58</v>
          </cell>
          <cell r="M7" t="str">
            <v>MCCB</v>
          </cell>
          <cell r="N7" t="str">
            <v>3P</v>
          </cell>
          <cell r="O7" t="str">
            <v>32A</v>
          </cell>
          <cell r="P7" t="str">
            <v>18kA</v>
          </cell>
          <cell r="Q7" t="str">
            <v>3x(1Cx6.0) Cu/Mica/XLPE/LSZH</v>
          </cell>
          <cell r="R7" t="str">
            <v>(1Cx6.0)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POWER SUPPLY AIR VALVE</v>
          </cell>
          <cell r="H9">
            <v>0.63</v>
          </cell>
          <cell r="J9">
            <v>0.63</v>
          </cell>
          <cell r="M9" t="str">
            <v>MCB</v>
          </cell>
          <cell r="N9" t="str">
            <v>1P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CONTROL</v>
          </cell>
          <cell r="H10">
            <v>0.5</v>
          </cell>
          <cell r="K10">
            <v>0.5</v>
          </cell>
          <cell r="M10" t="str">
            <v>MCB</v>
          </cell>
          <cell r="N10" t="str">
            <v>1P</v>
          </cell>
          <cell r="O10" t="str">
            <v>16A</v>
          </cell>
          <cell r="P10" t="str">
            <v>6kA</v>
          </cell>
        </row>
        <row r="12">
          <cell r="G12" t="str">
            <v>TỔNG CÔNG SUẤT ĐỊNH MỨC
TOTAL RATE POWER (kVA)</v>
          </cell>
          <cell r="H12">
            <v>29.88</v>
          </cell>
          <cell r="I12">
            <v>10.41</v>
          </cell>
          <cell r="J12">
            <v>9.7899999999999991</v>
          </cell>
          <cell r="K12">
            <v>9.66</v>
          </cell>
          <cell r="Q12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3">
          <cell r="G13" t="str">
            <v xml:space="preserve"> HỆ SỐ ĐỒNG THỜI
DIVERSITY FACTOR (Ks)</v>
          </cell>
          <cell r="H13">
            <v>1</v>
          </cell>
        </row>
        <row r="14">
          <cell r="G14" t="str">
            <v>TỔNG CÔNG SUẤT TÍNH TOÁN
TOTAL CALCULATED POWER (kVA)</v>
          </cell>
          <cell r="H14">
            <v>29.88</v>
          </cell>
          <cell r="I14">
            <v>10.41</v>
          </cell>
          <cell r="J14">
            <v>9.7899999999999991</v>
          </cell>
          <cell r="K14">
            <v>9.66</v>
          </cell>
        </row>
        <row r="15">
          <cell r="G15" t="str">
            <v>DÒNG ĐIỆN TÍNH TOÁN
TOTAL CALCULATED CURRENT (A)</v>
          </cell>
          <cell r="H15">
            <v>47.32</v>
          </cell>
        </row>
        <row r="16">
          <cell r="G16" t="str">
            <v>LỘ VÀO
INCOMMING</v>
          </cell>
          <cell r="M16" t="str">
            <v>THIẾT BỊ BẢO VỆ TỔNG
MAIN CIRCUIT BRAKER</v>
          </cell>
          <cell r="Q16" t="str">
            <v>CÁP ĐIỆN/ THANH DẪN TỔNG
INCOMMING CABLE/ BUSDUCT</v>
          </cell>
          <cell r="S16" t="str">
            <v>GIẢI PHÁP LẮP ĐẶT
INSTALLATION METHOD</v>
          </cell>
        </row>
        <row r="17">
          <cell r="G17" t="str">
            <v>FROM LV-MSB</v>
          </cell>
          <cell r="M17" t="str">
            <v>MCCB</v>
          </cell>
          <cell r="N17" t="str">
            <v>3P</v>
          </cell>
          <cell r="O17" t="str">
            <v>63A</v>
          </cell>
          <cell r="P17" t="str">
            <v>25kA</v>
          </cell>
          <cell r="Q17" t="str">
            <v>4x(1Cx16) Cu/Mica/XLPE/LSZH</v>
          </cell>
          <cell r="R17" t="str">
            <v>(1Cx16) Cu/PVC</v>
          </cell>
          <cell r="S17" t="str">
            <v>IN CABLE TRAY</v>
          </cell>
        </row>
        <row r="18">
          <cell r="Q18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9">
          <cell r="G19" t="str">
            <v>3P</v>
          </cell>
          <cell r="H19" t="str">
            <v>63A</v>
          </cell>
          <cell r="I19" t="str">
            <v>25kA</v>
          </cell>
          <cell r="J19" t="str">
            <v>4x(1Cx16) Cu/Mica/XLPE/LSZH</v>
          </cell>
          <cell r="K19" t="str">
            <v>(1Cx16) Cu/PVC</v>
          </cell>
        </row>
        <row r="20">
          <cell r="G20" t="str">
            <v>63A</v>
          </cell>
          <cell r="H20" t="str">
            <v>25kA</v>
          </cell>
          <cell r="I20" t="str">
            <v>63/5A</v>
          </cell>
          <cell r="J20" t="str">
            <v>0-63A</v>
          </cell>
        </row>
      </sheetData>
      <sheetData sheetId="11">
        <row r="1">
          <cell r="G1" t="str">
            <v>MCP-B2F-FAF.Z5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GIÓ TƯƠI B2F_KHOANG 5
POWER SUPPLY FOR THE FRESH AIR FAN B2F_ZONE 5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FRESH AIR FAN B2F_ZONE 5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FRESH AIR FAN FOR BASEMENT 2_ZONE 5(VSD)</v>
          </cell>
          <cell r="H6">
            <v>13.75</v>
          </cell>
          <cell r="I6">
            <v>4.58</v>
          </cell>
          <cell r="J6">
            <v>4.58</v>
          </cell>
          <cell r="K6">
            <v>4.58</v>
          </cell>
          <cell r="M6" t="str">
            <v>MCCB</v>
          </cell>
          <cell r="N6" t="str">
            <v>3P</v>
          </cell>
          <cell r="O6" t="str">
            <v>32A</v>
          </cell>
          <cell r="P6" t="str">
            <v>18kA</v>
          </cell>
          <cell r="Q6" t="str">
            <v>3x(1Cx6.0) Cu/Mica/XLPE/LSZH</v>
          </cell>
          <cell r="R6" t="str">
            <v>(1Cx6.0) Cu/PVC</v>
          </cell>
          <cell r="S6" t="str">
            <v>IN CABLE TRAY</v>
          </cell>
        </row>
        <row r="7">
          <cell r="G7" t="str">
            <v>FRESH AIR FAN FOR BASEMENT 2_ZONE 5(VSD)</v>
          </cell>
          <cell r="H7">
            <v>13.75</v>
          </cell>
          <cell r="I7">
            <v>4.58</v>
          </cell>
          <cell r="J7">
            <v>4.58</v>
          </cell>
          <cell r="K7">
            <v>4.58</v>
          </cell>
          <cell r="M7" t="str">
            <v>MCCB</v>
          </cell>
          <cell r="N7" t="str">
            <v>3P</v>
          </cell>
          <cell r="O7" t="str">
            <v>32A</v>
          </cell>
          <cell r="P7" t="str">
            <v>18kA</v>
          </cell>
          <cell r="Q7" t="str">
            <v>3x(1Cx6.0) Cu/Mica/XLPE/LSZH</v>
          </cell>
          <cell r="R7" t="str">
            <v>(1Cx6.0)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POWER SUPPLY AIR VALVE</v>
          </cell>
          <cell r="H9">
            <v>0.63</v>
          </cell>
          <cell r="J9">
            <v>0.63</v>
          </cell>
          <cell r="M9" t="str">
            <v>MCB</v>
          </cell>
          <cell r="N9" t="str">
            <v>1P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CONTROL</v>
          </cell>
          <cell r="H10">
            <v>0.5</v>
          </cell>
          <cell r="K10">
            <v>0.5</v>
          </cell>
          <cell r="M10" t="str">
            <v>MCB</v>
          </cell>
          <cell r="N10" t="str">
            <v>1P</v>
          </cell>
          <cell r="O10" t="str">
            <v>16A</v>
          </cell>
          <cell r="P10" t="str">
            <v>6kA</v>
          </cell>
        </row>
        <row r="12">
          <cell r="G12" t="str">
            <v>TỔNG CÔNG SUẤT ĐỊNH MỨC
TOTAL RATE POWER (kVA)</v>
          </cell>
          <cell r="H12">
            <v>29.88</v>
          </cell>
          <cell r="I12">
            <v>10.41</v>
          </cell>
          <cell r="J12">
            <v>9.7899999999999991</v>
          </cell>
          <cell r="K12">
            <v>9.66</v>
          </cell>
          <cell r="Q12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3">
          <cell r="G13" t="str">
            <v xml:space="preserve"> HỆ SỐ ĐỒNG THỜI
DIVERSITY FACTOR (Ks)</v>
          </cell>
          <cell r="H13">
            <v>1</v>
          </cell>
        </row>
        <row r="14">
          <cell r="G14" t="str">
            <v>TỔNG CÔNG SUẤT TÍNH TOÁN
TOTAL CALCULATED POWER (kVA)</v>
          </cell>
          <cell r="H14">
            <v>29.88</v>
          </cell>
          <cell r="I14">
            <v>10.41</v>
          </cell>
          <cell r="J14">
            <v>9.7899999999999991</v>
          </cell>
          <cell r="K14">
            <v>9.66</v>
          </cell>
        </row>
        <row r="15">
          <cell r="G15" t="str">
            <v>DÒNG ĐIỆN TÍNH TOÁN
TOTAL CALCULATED CURRENT (A)</v>
          </cell>
          <cell r="H15">
            <v>47.32</v>
          </cell>
        </row>
        <row r="16">
          <cell r="G16" t="str">
            <v>LỘ VÀO
INCOMMING</v>
          </cell>
          <cell r="M16" t="str">
            <v>THIẾT BỊ BẢO VỆ TỔNG
MAIN CIRCUIT BRAKER</v>
          </cell>
          <cell r="Q16" t="str">
            <v>CÁP ĐIỆN/ THANH DẪN TỔNG
INCOMMING CABLE/ BUSDUCT</v>
          </cell>
          <cell r="S16" t="str">
            <v>GIẢI PHÁP LẮP ĐẶT
INSTALLATION METHOD</v>
          </cell>
        </row>
        <row r="17">
          <cell r="G17" t="str">
            <v>FROM LV-MSB</v>
          </cell>
          <cell r="M17" t="str">
            <v>MCCB</v>
          </cell>
          <cell r="N17" t="str">
            <v>3P</v>
          </cell>
          <cell r="O17" t="str">
            <v>63A</v>
          </cell>
          <cell r="P17" t="str">
            <v>25kA</v>
          </cell>
          <cell r="Q17" t="str">
            <v>4x(1Cx16) Cu/Mica/XLPE/LSZH</v>
          </cell>
          <cell r="R17" t="str">
            <v>(1Cx16) Cu/PVC</v>
          </cell>
          <cell r="S17" t="str">
            <v>IN CABLE TRAY</v>
          </cell>
        </row>
        <row r="18">
          <cell r="Q18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9">
          <cell r="G19" t="str">
            <v>3P</v>
          </cell>
          <cell r="H19" t="str">
            <v>63A</v>
          </cell>
          <cell r="I19" t="str">
            <v>25kA</v>
          </cell>
          <cell r="J19" t="str">
            <v>4x(1Cx16) Cu/Mica/XLPE/LSZH</v>
          </cell>
          <cell r="K19" t="str">
            <v>(1Cx16) Cu/PVC</v>
          </cell>
        </row>
        <row r="20">
          <cell r="G20" t="str">
            <v>63A</v>
          </cell>
          <cell r="H20" t="str">
            <v>25kA</v>
          </cell>
          <cell r="I20" t="str">
            <v>63/5A</v>
          </cell>
          <cell r="J20" t="str">
            <v>0-63A</v>
          </cell>
        </row>
      </sheetData>
      <sheetData sheetId="12">
        <row r="1">
          <cell r="G1" t="str">
            <v>MCP-B2F-FAF.Z6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GIÓ TƯƠI B2F_KHOANG 6
POWER SUPPLY FOR THE FRESH AIR FAN B2F_ZONE 6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FRESH AIR FAN B2F_ZONE 6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FRESH AIR FAN FOR BASEMENT 2_ZONE 6(VSD)</v>
          </cell>
          <cell r="H6">
            <v>13.75</v>
          </cell>
          <cell r="I6">
            <v>4.58</v>
          </cell>
          <cell r="J6">
            <v>4.58</v>
          </cell>
          <cell r="K6">
            <v>4.58</v>
          </cell>
          <cell r="M6" t="str">
            <v>MCCB</v>
          </cell>
          <cell r="N6" t="str">
            <v>3P</v>
          </cell>
          <cell r="O6" t="str">
            <v>32A</v>
          </cell>
          <cell r="P6" t="str">
            <v>18kA</v>
          </cell>
          <cell r="Q6" t="str">
            <v>3x(1Cx6.0) Cu/Mica/XLPE/LSZH</v>
          </cell>
          <cell r="R6" t="str">
            <v>(1Cx6.0) Cu/PVC</v>
          </cell>
          <cell r="S6" t="str">
            <v>IN CABLE TRAY</v>
          </cell>
        </row>
        <row r="7">
          <cell r="G7" t="str">
            <v>FRESH AIR FAN FOR BASEMENT 2_ZONE 6(VSD)</v>
          </cell>
          <cell r="H7">
            <v>13.75</v>
          </cell>
          <cell r="I7">
            <v>4.58</v>
          </cell>
          <cell r="J7">
            <v>4.58</v>
          </cell>
          <cell r="K7">
            <v>4.58</v>
          </cell>
          <cell r="M7" t="str">
            <v>MCCB</v>
          </cell>
          <cell r="N7" t="str">
            <v>3P</v>
          </cell>
          <cell r="O7" t="str">
            <v>32A</v>
          </cell>
          <cell r="P7" t="str">
            <v>18kA</v>
          </cell>
          <cell r="Q7" t="str">
            <v>3x(1Cx6.0) Cu/Mica/XLPE/LSZH</v>
          </cell>
          <cell r="R7" t="str">
            <v>(1Cx6.0) Cu/PVC</v>
          </cell>
          <cell r="S7" t="str">
            <v>IN CABLE TRAY</v>
          </cell>
        </row>
        <row r="8">
          <cell r="G8" t="str">
            <v>PRESSURIZATION AIR FAN(VSD)</v>
          </cell>
          <cell r="H8">
            <v>13.75</v>
          </cell>
          <cell r="I8">
            <v>4.58</v>
          </cell>
          <cell r="J8">
            <v>4.58</v>
          </cell>
          <cell r="K8">
            <v>4.58</v>
          </cell>
          <cell r="M8" t="str">
            <v>MCCB</v>
          </cell>
          <cell r="N8" t="str">
            <v>3P</v>
          </cell>
          <cell r="O8" t="str">
            <v>32A</v>
          </cell>
          <cell r="P8" t="str">
            <v>18kA</v>
          </cell>
          <cell r="Q8" t="str">
            <v>3x(1Cx6.0) Cu/Mica/XLPE/LSZH</v>
          </cell>
          <cell r="R8" t="str">
            <v>(1Cx6.0) Cu/PVC</v>
          </cell>
          <cell r="S8" t="str">
            <v>IN CABLE TRAY</v>
          </cell>
        </row>
        <row r="9">
          <cell r="G9" t="str">
            <v>FIRE RATED ROLLER SHUTTER</v>
          </cell>
          <cell r="H9">
            <v>1.25</v>
          </cell>
          <cell r="I9">
            <v>1.25</v>
          </cell>
          <cell r="M9" t="str">
            <v>MCB</v>
          </cell>
          <cell r="N9" t="str">
            <v>2P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FIRE RATED ROLLER SHUTTER</v>
          </cell>
          <cell r="H10">
            <v>1.25</v>
          </cell>
          <cell r="J10">
            <v>1.25</v>
          </cell>
          <cell r="M10" t="str">
            <v>MCB</v>
          </cell>
          <cell r="N10" t="str">
            <v>2P</v>
          </cell>
          <cell r="O10" t="str">
            <v>16A</v>
          </cell>
          <cell r="P10" t="str">
            <v>6kA</v>
          </cell>
          <cell r="Q10" t="str">
            <v>2x(1Cx2.5) Cu/Mica/XLPE/LSZH</v>
          </cell>
          <cell r="R10" t="str">
            <v>(1Cx2.5) Cu/PVC</v>
          </cell>
          <cell r="S10" t="str">
            <v>IN PVC CONDUIT D25</v>
          </cell>
        </row>
        <row r="11">
          <cell r="G11" t="str">
            <v>POWER SUPPLY AIR VALVE</v>
          </cell>
          <cell r="H11">
            <v>0.63</v>
          </cell>
          <cell r="K11">
            <v>0.63</v>
          </cell>
          <cell r="M11" t="str">
            <v>MCB</v>
          </cell>
          <cell r="N11" t="str">
            <v>1P</v>
          </cell>
          <cell r="O11" t="str">
            <v>16A</v>
          </cell>
          <cell r="P11" t="str">
            <v>6kA</v>
          </cell>
          <cell r="Q11" t="str">
            <v>2x(1Cx2.5) Cu/Mica/XLPE/LSZH</v>
          </cell>
          <cell r="R11" t="str">
            <v>(1Cx2.5) Cu/PVC</v>
          </cell>
          <cell r="S11" t="str">
            <v>IN PVC CONDUIT D25</v>
          </cell>
        </row>
        <row r="12">
          <cell r="G12" t="str">
            <v>CONTROL</v>
          </cell>
          <cell r="H12">
            <v>0.5</v>
          </cell>
          <cell r="J12">
            <v>0.5</v>
          </cell>
          <cell r="M12" t="str">
            <v>MCB</v>
          </cell>
          <cell r="N12" t="str">
            <v>1P</v>
          </cell>
          <cell r="O12" t="str">
            <v>16A</v>
          </cell>
          <cell r="P12" t="str">
            <v>6kA</v>
          </cell>
        </row>
        <row r="14">
          <cell r="G14" t="str">
            <v>TỔNG CÔNG SUẤT ĐỊNH MỨC
TOTAL RATE POWER (kVA)</v>
          </cell>
          <cell r="H14">
            <v>44.88</v>
          </cell>
          <cell r="I14">
            <v>14.99</v>
          </cell>
          <cell r="J14">
            <v>15.49</v>
          </cell>
          <cell r="K14">
            <v>14.37</v>
          </cell>
          <cell r="Q14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5">
          <cell r="G15" t="str">
            <v xml:space="preserve"> HỆ SỐ ĐỒNG THỜI
DIVERSITY FACTOR (Ks)</v>
          </cell>
          <cell r="H15">
            <v>1</v>
          </cell>
        </row>
        <row r="16">
          <cell r="G16" t="str">
            <v>TỔNG CÔNG SUẤT TÍNH TOÁN
TOTAL CALCULATED POWER (kVA)</v>
          </cell>
          <cell r="H16">
            <v>44.88</v>
          </cell>
          <cell r="I16">
            <v>14.99</v>
          </cell>
          <cell r="J16">
            <v>15.49</v>
          </cell>
          <cell r="K16">
            <v>14.37</v>
          </cell>
        </row>
        <row r="17">
          <cell r="G17" t="str">
            <v>DÒNG ĐIỆN TÍNH TOÁN
TOTAL CALCULATED CURRENT (A)</v>
          </cell>
          <cell r="H17">
            <v>70.41</v>
          </cell>
        </row>
        <row r="18">
          <cell r="G18" t="str">
            <v>LỘ VÀO
INCOMMING</v>
          </cell>
          <cell r="M18" t="str">
            <v>THIẾT BỊ BẢO VỆ TỔNG
MAIN CIRCUIT BRAKER</v>
          </cell>
          <cell r="Q18" t="str">
            <v>CÁP ĐIỆN/ THANH DẪN TỔNG
INCOMMING CABLE/ BUSDUCT</v>
          </cell>
          <cell r="S18" t="str">
            <v>GIẢI PHÁP LẮP ĐẶT
INSTALLATION METHOD</v>
          </cell>
        </row>
        <row r="19">
          <cell r="G19" t="str">
            <v>FROM LV-MSB</v>
          </cell>
          <cell r="M19" t="str">
            <v>MCCB</v>
          </cell>
          <cell r="N19" t="str">
            <v>3P</v>
          </cell>
          <cell r="O19" t="str">
            <v>100A</v>
          </cell>
          <cell r="P19" t="str">
            <v>25kA</v>
          </cell>
          <cell r="Q19" t="str">
            <v>4x(1Cx35) Cu/Mica/XLPE/LSZH</v>
          </cell>
          <cell r="R19" t="str">
            <v>(1Cx16) Cu/PVC</v>
          </cell>
          <cell r="S19" t="str">
            <v>IN CABLE TRAY</v>
          </cell>
        </row>
        <row r="20">
          <cell r="Q20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21">
          <cell r="G21" t="str">
            <v>3P</v>
          </cell>
          <cell r="H21" t="str">
            <v>100A</v>
          </cell>
          <cell r="I21" t="str">
            <v>25kA</v>
          </cell>
          <cell r="J21" t="str">
            <v>4x(1Cx35) Cu/Mica/XLPE/LSZH</v>
          </cell>
          <cell r="K21" t="str">
            <v>(1Cx16) Cu/PVC</v>
          </cell>
        </row>
        <row r="22">
          <cell r="G22" t="str">
            <v>100A</v>
          </cell>
          <cell r="H22" t="str">
            <v>25kA</v>
          </cell>
          <cell r="I22" t="str">
            <v>100/5A</v>
          </cell>
          <cell r="J22" t="str">
            <v>0-100A</v>
          </cell>
        </row>
      </sheetData>
      <sheetData sheetId="13">
        <row r="1">
          <cell r="G1" t="str">
            <v>MCP-B2F-FAF.Z7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GIÓ TƯƠI B2F_KHOANG 7
POWER SUPPLY FOR THE FRESH AIR FAN B2F_ZONE 7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FRESH AIR FAN B2F_ZONE 7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FRESH AIR FAN FOR BASEMENT 2_ZONE 7(VSD)</v>
          </cell>
          <cell r="H6">
            <v>13.75</v>
          </cell>
          <cell r="I6">
            <v>4.58</v>
          </cell>
          <cell r="J6">
            <v>4.58</v>
          </cell>
          <cell r="K6">
            <v>4.58</v>
          </cell>
          <cell r="M6" t="str">
            <v>MCCB</v>
          </cell>
          <cell r="N6" t="str">
            <v>3P</v>
          </cell>
          <cell r="O6" t="str">
            <v>32A</v>
          </cell>
          <cell r="P6" t="str">
            <v>18kA</v>
          </cell>
          <cell r="Q6" t="str">
            <v>3x(1Cx6.0) Cu/Mica/XLPE/LSZH</v>
          </cell>
          <cell r="R6" t="str">
            <v>(1Cx6.0) Cu/PVC</v>
          </cell>
          <cell r="S6" t="str">
            <v>IN CABLE TRAY</v>
          </cell>
        </row>
        <row r="7">
          <cell r="G7" t="str">
            <v>FRESH AIR FAN FOR BASEMENT 2_ZONE 7(VSD)</v>
          </cell>
          <cell r="H7">
            <v>13.75</v>
          </cell>
          <cell r="I7">
            <v>4.58</v>
          </cell>
          <cell r="J7">
            <v>4.58</v>
          </cell>
          <cell r="K7">
            <v>4.58</v>
          </cell>
          <cell r="M7" t="str">
            <v>MCCB</v>
          </cell>
          <cell r="N7" t="str">
            <v>3P</v>
          </cell>
          <cell r="O7" t="str">
            <v>32A</v>
          </cell>
          <cell r="P7" t="str">
            <v>18kA</v>
          </cell>
          <cell r="Q7" t="str">
            <v>3x(1Cx6.0) Cu/Mica/XLPE/LSZH</v>
          </cell>
          <cell r="R7" t="str">
            <v>(1Cx6.0)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FIRE RATED ROLLER SHUTTER</v>
          </cell>
          <cell r="H9">
            <v>1.25</v>
          </cell>
          <cell r="J9">
            <v>1.25</v>
          </cell>
          <cell r="M9" t="str">
            <v>MCB</v>
          </cell>
          <cell r="N9" t="str">
            <v>2P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FIRE RATED ROLLER SHUTTER</v>
          </cell>
          <cell r="H10">
            <v>1.25</v>
          </cell>
          <cell r="K10">
            <v>1.25</v>
          </cell>
          <cell r="M10" t="str">
            <v>MCB</v>
          </cell>
          <cell r="N10" t="str">
            <v>2P</v>
          </cell>
          <cell r="O10" t="str">
            <v>16A</v>
          </cell>
          <cell r="P10" t="str">
            <v>6kA</v>
          </cell>
          <cell r="Q10" t="str">
            <v>2x(1Cx2.5) Cu/Mica/XLPE/LSZH</v>
          </cell>
          <cell r="R10" t="str">
            <v>(1Cx2.5) Cu/PVC</v>
          </cell>
          <cell r="S10" t="str">
            <v>IN PVC CONDUIT D25</v>
          </cell>
        </row>
        <row r="11">
          <cell r="G11" t="str">
            <v>POWER SUPPLY AIR VALVE</v>
          </cell>
          <cell r="H11">
            <v>1.26</v>
          </cell>
          <cell r="I11">
            <v>0.63</v>
          </cell>
          <cell r="K11">
            <v>0.63</v>
          </cell>
          <cell r="M11" t="str">
            <v>MCB</v>
          </cell>
          <cell r="N11" t="str">
            <v>1P</v>
          </cell>
          <cell r="O11" t="str">
            <v>16A</v>
          </cell>
          <cell r="P11" t="str">
            <v>6kA</v>
          </cell>
          <cell r="Q11" t="str">
            <v>2x(1Cx2.5) Cu/Mica/XLPE/LSZH</v>
          </cell>
          <cell r="R11" t="str">
            <v>(1Cx2.5) Cu/PVC</v>
          </cell>
          <cell r="S11" t="str">
            <v>IN PVC CONDUIT D25</v>
          </cell>
        </row>
        <row r="12">
          <cell r="G12" t="str">
            <v>CONTROL</v>
          </cell>
          <cell r="H12">
            <v>0.5</v>
          </cell>
          <cell r="J12">
            <v>0.5</v>
          </cell>
          <cell r="M12" t="str">
            <v>MCB</v>
          </cell>
          <cell r="N12" t="str">
            <v>1P</v>
          </cell>
          <cell r="O12" t="str">
            <v>16A</v>
          </cell>
          <cell r="P12" t="str">
            <v>6kA</v>
          </cell>
        </row>
        <row r="14">
          <cell r="G14" t="str">
            <v>TỔNG CÔNG SUẤT ĐỊNH MỨC
TOTAL RATE POWER (kVA)</v>
          </cell>
          <cell r="H14">
            <v>33.01</v>
          </cell>
          <cell r="I14">
            <v>11.04</v>
          </cell>
          <cell r="J14">
            <v>10.91</v>
          </cell>
          <cell r="K14">
            <v>11.04</v>
          </cell>
          <cell r="Q14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5">
          <cell r="G15" t="str">
            <v xml:space="preserve"> HỆ SỐ ĐỒNG THỜI
DIVERSITY FACTOR (Ks)</v>
          </cell>
          <cell r="H15">
            <v>1</v>
          </cell>
        </row>
        <row r="16">
          <cell r="G16" t="str">
            <v>TỔNG CÔNG SUẤT TÍNH TOÁN
TOTAL CALCULATED POWER (kVA)</v>
          </cell>
          <cell r="H16">
            <v>33.01</v>
          </cell>
          <cell r="I16">
            <v>11.04</v>
          </cell>
          <cell r="J16">
            <v>10.91</v>
          </cell>
          <cell r="K16">
            <v>11.04</v>
          </cell>
        </row>
        <row r="17">
          <cell r="G17" t="str">
            <v>DÒNG ĐIỆN TÍNH TOÁN
TOTAL CALCULATED CURRENT (A)</v>
          </cell>
          <cell r="H17">
            <v>50.18</v>
          </cell>
        </row>
        <row r="18">
          <cell r="G18" t="str">
            <v>LỘ VÀO
INCOMMING</v>
          </cell>
          <cell r="M18" t="str">
            <v>THIẾT BỊ BẢO VỆ TỔNG
MAIN CIRCUIT BRAKER</v>
          </cell>
          <cell r="Q18" t="str">
            <v>CÁP ĐIỆN/ THANH DẪN TỔNG
INCOMMING CABLE/ BUSDUCT</v>
          </cell>
          <cell r="S18" t="str">
            <v>GIẢI PHÁP LẮP ĐẶT
INSTALLATION METHOD</v>
          </cell>
        </row>
        <row r="19">
          <cell r="G19" t="str">
            <v>FROM LV-MSB</v>
          </cell>
          <cell r="M19" t="str">
            <v>MCCB</v>
          </cell>
          <cell r="N19" t="str">
            <v>3P</v>
          </cell>
          <cell r="O19" t="str">
            <v>80A</v>
          </cell>
          <cell r="P19" t="str">
            <v>25kA</v>
          </cell>
          <cell r="Q19" t="str">
            <v>4x(1Cx25) Cu/Mica/XLPE/LSZH</v>
          </cell>
          <cell r="R19" t="str">
            <v>(1Cx16) Cu/PVC</v>
          </cell>
          <cell r="S19" t="str">
            <v>IN CABLE TRAY</v>
          </cell>
        </row>
        <row r="20">
          <cell r="Q20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21">
          <cell r="G21" t="str">
            <v>3P</v>
          </cell>
          <cell r="H21" t="str">
            <v>80A</v>
          </cell>
          <cell r="I21" t="str">
            <v>25kA</v>
          </cell>
          <cell r="J21" t="str">
            <v>4x(1Cx25) Cu/Mica/XLPE/LSZH</v>
          </cell>
          <cell r="K21" t="str">
            <v>(1Cx16) Cu/PVC</v>
          </cell>
        </row>
        <row r="22">
          <cell r="G22" t="str">
            <v>80A</v>
          </cell>
          <cell r="H22" t="str">
            <v>25kA</v>
          </cell>
          <cell r="I22" t="str">
            <v>80/5A</v>
          </cell>
          <cell r="J22" t="str">
            <v>0-80A</v>
          </cell>
        </row>
      </sheetData>
      <sheetData sheetId="14">
        <row r="1">
          <cell r="G1" t="str">
            <v>MCP-B2F-FAF.Z8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GIÓ TƯƠI B2F_KHOANG 8
POWER SUPPLY FOR THE FRESH AIR FAN B2F_ZONE 8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FRESH AIR FAN B2F_ZONE 8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FRESH AIR FAN FOR BASEMENT 2_ZONE 8(VSD)</v>
          </cell>
          <cell r="H6">
            <v>13.75</v>
          </cell>
          <cell r="I6">
            <v>4.58</v>
          </cell>
          <cell r="J6">
            <v>4.58</v>
          </cell>
          <cell r="K6">
            <v>4.58</v>
          </cell>
          <cell r="M6" t="str">
            <v>MCCB</v>
          </cell>
          <cell r="N6" t="str">
            <v>3P</v>
          </cell>
          <cell r="O6" t="str">
            <v>32A</v>
          </cell>
          <cell r="P6" t="str">
            <v>18kA</v>
          </cell>
          <cell r="Q6" t="str">
            <v>3x(1Cx6.0) Cu/Mica/XLPE/LSZH</v>
          </cell>
          <cell r="R6" t="str">
            <v>(1Cx6.0) Cu/PVC</v>
          </cell>
          <cell r="S6" t="str">
            <v>IN CABLE TRAY</v>
          </cell>
        </row>
        <row r="7">
          <cell r="G7" t="str">
            <v>FRESH AIR FAN FOR BASEMENT 2_ZONE 8(VSD)</v>
          </cell>
          <cell r="H7">
            <v>13.75</v>
          </cell>
          <cell r="I7">
            <v>4.58</v>
          </cell>
          <cell r="J7">
            <v>4.58</v>
          </cell>
          <cell r="K7">
            <v>4.58</v>
          </cell>
          <cell r="M7" t="str">
            <v>MCCB</v>
          </cell>
          <cell r="N7" t="str">
            <v>3P</v>
          </cell>
          <cell r="O7" t="str">
            <v>32A</v>
          </cell>
          <cell r="P7" t="str">
            <v>18kA</v>
          </cell>
          <cell r="Q7" t="str">
            <v>3x(1Cx6.0) Cu/Mica/XLPE/LSZH</v>
          </cell>
          <cell r="R7" t="str">
            <v>(1Cx6.0)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FIRE RATED ROLLER SHUTTER</v>
          </cell>
          <cell r="H9">
            <v>1.25</v>
          </cell>
          <cell r="J9">
            <v>1.25</v>
          </cell>
          <cell r="M9" t="str">
            <v>MCB</v>
          </cell>
          <cell r="N9" t="str">
            <v>2P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FIRE RATED ROLLER SHUTTER</v>
          </cell>
          <cell r="H10">
            <v>1.25</v>
          </cell>
          <cell r="K10">
            <v>1.25</v>
          </cell>
          <cell r="M10" t="str">
            <v>MCB</v>
          </cell>
          <cell r="N10" t="str">
            <v>2P</v>
          </cell>
          <cell r="O10" t="str">
            <v>16A</v>
          </cell>
          <cell r="P10" t="str">
            <v>6kA</v>
          </cell>
          <cell r="Q10" t="str">
            <v>2x(1Cx2.5) Cu/Mica/XLPE/LSZH</v>
          </cell>
          <cell r="R10" t="str">
            <v>(1Cx2.5) Cu/PVC</v>
          </cell>
          <cell r="S10" t="str">
            <v>IN PVC CONDUIT D25</v>
          </cell>
        </row>
        <row r="11">
          <cell r="G11" t="str">
            <v>FIRE RATED ROLLER SHUTTER</v>
          </cell>
          <cell r="H11">
            <v>1.25</v>
          </cell>
          <cell r="I11">
            <v>1.25</v>
          </cell>
          <cell r="M11" t="str">
            <v>MCB</v>
          </cell>
          <cell r="N11" t="str">
            <v>2P</v>
          </cell>
          <cell r="O11" t="str">
            <v>16A</v>
          </cell>
          <cell r="P11" t="str">
            <v>6kA</v>
          </cell>
          <cell r="Q11" t="str">
            <v>2x(1Cx2.5) Cu/Mica/XLPE/LSZH</v>
          </cell>
          <cell r="R11" t="str">
            <v>(1Cx2.5) Cu/PVC</v>
          </cell>
          <cell r="S11" t="str">
            <v>IN PVC CONDUIT D25</v>
          </cell>
        </row>
        <row r="12">
          <cell r="G12" t="str">
            <v>POWER SUPPLY AIR VALVE</v>
          </cell>
          <cell r="H12">
            <v>0.63</v>
          </cell>
          <cell r="J12">
            <v>0.63</v>
          </cell>
          <cell r="M12" t="str">
            <v>MCB</v>
          </cell>
          <cell r="N12" t="str">
            <v>1P</v>
          </cell>
          <cell r="O12" t="str">
            <v>16A</v>
          </cell>
          <cell r="P12" t="str">
            <v>6kA</v>
          </cell>
          <cell r="Q12" t="str">
            <v>2x(1Cx2.5) Cu/Mica/XLPE/LSZH</v>
          </cell>
          <cell r="R12" t="str">
            <v>(1Cx2.5) Cu/PVC</v>
          </cell>
          <cell r="S12" t="str">
            <v>IN PVC CONDUIT D25</v>
          </cell>
        </row>
        <row r="13">
          <cell r="G13" t="str">
            <v>CONTROL</v>
          </cell>
          <cell r="H13">
            <v>0.5</v>
          </cell>
          <cell r="K13">
            <v>0.5</v>
          </cell>
          <cell r="M13" t="str">
            <v>MCB</v>
          </cell>
          <cell r="N13" t="str">
            <v>1P</v>
          </cell>
          <cell r="O13" t="str">
            <v>16A</v>
          </cell>
          <cell r="P13" t="str">
            <v>6kA</v>
          </cell>
        </row>
        <row r="15">
          <cell r="G15" t="str">
            <v>TỔNG CÔNG SUẤT ĐỊNH MỨC
TOTAL RATE POWER (kVA)</v>
          </cell>
          <cell r="H15">
            <v>33.630000000000003</v>
          </cell>
          <cell r="I15">
            <v>11.66</v>
          </cell>
          <cell r="J15">
            <v>11.04</v>
          </cell>
          <cell r="K15">
            <v>10.91</v>
          </cell>
          <cell r="Q15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6">
          <cell r="G16" t="str">
            <v xml:space="preserve"> HỆ SỐ ĐỒNG THỜI
DIVERSITY FACTOR (Ks)</v>
          </cell>
          <cell r="H16">
            <v>1</v>
          </cell>
        </row>
        <row r="17">
          <cell r="G17" t="str">
            <v>TỔNG CÔNG SUẤT TÍNH TOÁN
TOTAL CALCULATED POWER (kVA)</v>
          </cell>
          <cell r="H17">
            <v>33.630000000000003</v>
          </cell>
          <cell r="I17">
            <v>11.66</v>
          </cell>
          <cell r="J17">
            <v>11.04</v>
          </cell>
          <cell r="K17">
            <v>10.91</v>
          </cell>
        </row>
        <row r="18">
          <cell r="G18" t="str">
            <v>DÒNG ĐIỆN TÍNH TOÁN
TOTAL CALCULATED CURRENT (A)</v>
          </cell>
          <cell r="H18">
            <v>53</v>
          </cell>
        </row>
        <row r="19">
          <cell r="G19" t="str">
            <v>LỘ VÀO
INCOMMING</v>
          </cell>
          <cell r="M19" t="str">
            <v>THIẾT BỊ BẢO VỆ TỔNG
MAIN CIRCUIT BRAKER</v>
          </cell>
          <cell r="Q19" t="str">
            <v>CÁP ĐIỆN/ THANH DẪN TỔNG
INCOMMING CABLE/ BUSDUCT</v>
          </cell>
          <cell r="S19" t="str">
            <v>GIẢI PHÁP LẮP ĐẶT
INSTALLATION METHOD</v>
          </cell>
        </row>
        <row r="20">
          <cell r="G20" t="str">
            <v>FROM LV-MSB</v>
          </cell>
          <cell r="M20" t="str">
            <v>MCCB</v>
          </cell>
          <cell r="N20" t="str">
            <v>3P</v>
          </cell>
          <cell r="O20" t="str">
            <v>80A</v>
          </cell>
          <cell r="P20" t="str">
            <v>25kA</v>
          </cell>
          <cell r="Q20" t="str">
            <v>4x(1Cx25) Cu/Mica/XLPE/LSZH</v>
          </cell>
          <cell r="R20" t="str">
            <v>(1Cx16) Cu/PVC</v>
          </cell>
          <cell r="S20" t="str">
            <v>IN CABLE TRAY</v>
          </cell>
        </row>
        <row r="21">
          <cell r="Q21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22">
          <cell r="G22" t="str">
            <v>3P</v>
          </cell>
          <cell r="H22" t="str">
            <v>80A</v>
          </cell>
          <cell r="I22" t="str">
            <v>25kA</v>
          </cell>
          <cell r="J22" t="str">
            <v>4x(1Cx25) Cu/Mica/XLPE/LSZH</v>
          </cell>
          <cell r="K22" t="str">
            <v>(1Cx16) Cu/PVC</v>
          </cell>
        </row>
        <row r="23">
          <cell r="G23" t="str">
            <v>80A</v>
          </cell>
          <cell r="H23" t="str">
            <v>25kA</v>
          </cell>
          <cell r="I23" t="str">
            <v>80/5A</v>
          </cell>
          <cell r="J23" t="str">
            <v>0-80A</v>
          </cell>
        </row>
      </sheetData>
      <sheetData sheetId="15">
        <row r="1">
          <cell r="G1" t="str">
            <v>MCP-B2F-FAF.Z9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GIÓ TƯƠI B2F_KHOANG 9
POWER SUPPLY FOR THE FRESH AIR FAN B2F_ZONE 9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FRESH AIR FAN B2F_ZONE 9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FRESH AIR FAN FOR BASEMENT 2_ZONE 9(VSD)</v>
          </cell>
          <cell r="H6">
            <v>13.75</v>
          </cell>
          <cell r="I6">
            <v>4.58</v>
          </cell>
          <cell r="J6">
            <v>4.58</v>
          </cell>
          <cell r="K6">
            <v>4.58</v>
          </cell>
          <cell r="M6" t="str">
            <v>MCCB</v>
          </cell>
          <cell r="N6" t="str">
            <v>3P</v>
          </cell>
          <cell r="O6" t="str">
            <v>32A</v>
          </cell>
          <cell r="P6" t="str">
            <v>18kA</v>
          </cell>
          <cell r="Q6" t="str">
            <v>3x(1Cx6.0) Cu/Mica/XLPE/LSZH</v>
          </cell>
          <cell r="R6" t="str">
            <v>(1Cx6.0) Cu/PVC</v>
          </cell>
          <cell r="S6" t="str">
            <v>IN CABLE TRAY</v>
          </cell>
        </row>
        <row r="7">
          <cell r="G7" t="str">
            <v>FRESH AIR FAN FOR BASEMENT 2_ZONE 9(VSD)</v>
          </cell>
          <cell r="H7">
            <v>13.75</v>
          </cell>
          <cell r="I7">
            <v>4.58</v>
          </cell>
          <cell r="J7">
            <v>4.58</v>
          </cell>
          <cell r="K7">
            <v>4.58</v>
          </cell>
          <cell r="M7" t="str">
            <v>MCCB</v>
          </cell>
          <cell r="N7" t="str">
            <v>3P</v>
          </cell>
          <cell r="O7" t="str">
            <v>32A</v>
          </cell>
          <cell r="P7" t="str">
            <v>18kA</v>
          </cell>
          <cell r="Q7" t="str">
            <v>3x(1Cx6.0) Cu/Mica/XLPE/LSZH</v>
          </cell>
          <cell r="R7" t="str">
            <v>(1Cx6.0)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FIRE RATED ROLLER SHUTTER</v>
          </cell>
          <cell r="H9">
            <v>1.25</v>
          </cell>
          <cell r="J9">
            <v>1.25</v>
          </cell>
          <cell r="M9" t="str">
            <v>MCB</v>
          </cell>
          <cell r="N9" t="str">
            <v>2P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FIRE RATED ROLLER SHUTTER</v>
          </cell>
          <cell r="H10">
            <v>1.25</v>
          </cell>
          <cell r="K10">
            <v>1.25</v>
          </cell>
          <cell r="M10" t="str">
            <v>MCB</v>
          </cell>
          <cell r="N10" t="str">
            <v>2P</v>
          </cell>
          <cell r="O10" t="str">
            <v>16A</v>
          </cell>
          <cell r="P10" t="str">
            <v>6kA</v>
          </cell>
          <cell r="Q10" t="str">
            <v>2x(1Cx2.5) Cu/Mica/XLPE/LSZH</v>
          </cell>
          <cell r="R10" t="str">
            <v>(1Cx2.5) Cu/PVC</v>
          </cell>
          <cell r="S10" t="str">
            <v>IN PVC CONDUIT D25</v>
          </cell>
        </row>
        <row r="11">
          <cell r="G11" t="str">
            <v>POWER SUPPLY AIR VALVE</v>
          </cell>
          <cell r="H11">
            <v>0.63</v>
          </cell>
          <cell r="I11">
            <v>0.63</v>
          </cell>
          <cell r="M11" t="str">
            <v>MCB</v>
          </cell>
          <cell r="N11" t="str">
            <v>1P</v>
          </cell>
          <cell r="O11" t="str">
            <v>16A</v>
          </cell>
          <cell r="P11" t="str">
            <v>6kA</v>
          </cell>
          <cell r="Q11" t="str">
            <v>2x(1Cx2.5) Cu/Mica/XLPE/LSZH</v>
          </cell>
          <cell r="R11" t="str">
            <v>(1Cx2.5) Cu/PVC</v>
          </cell>
          <cell r="S11" t="str">
            <v>IN PVC CONDUIT D25</v>
          </cell>
        </row>
        <row r="12">
          <cell r="G12" t="str">
            <v>CONTROL</v>
          </cell>
          <cell r="H12">
            <v>0.5</v>
          </cell>
          <cell r="J12">
            <v>0.5</v>
          </cell>
          <cell r="M12" t="str">
            <v>MCB</v>
          </cell>
          <cell r="N12" t="str">
            <v>1P</v>
          </cell>
          <cell r="O12" t="str">
            <v>16A</v>
          </cell>
          <cell r="P12" t="str">
            <v>6kA</v>
          </cell>
        </row>
        <row r="14">
          <cell r="G14" t="str">
            <v>TỔNG CÔNG SUẤT ĐỊNH MỨC
TOTAL RATE POWER (kVA)</v>
          </cell>
          <cell r="H14">
            <v>32.380000000000003</v>
          </cell>
          <cell r="I14">
            <v>11.04</v>
          </cell>
          <cell r="J14">
            <v>10.91</v>
          </cell>
          <cell r="K14">
            <v>10.41</v>
          </cell>
          <cell r="Q14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5">
          <cell r="G15" t="str">
            <v xml:space="preserve"> HỆ SỐ ĐỒNG THỜI
DIVERSITY FACTOR (Ks)</v>
          </cell>
          <cell r="H15">
            <v>1</v>
          </cell>
        </row>
        <row r="16">
          <cell r="G16" t="str">
            <v>TỔNG CÔNG SUẤT TÍNH TOÁN
TOTAL CALCULATED POWER (kVA)</v>
          </cell>
          <cell r="H16">
            <v>32.380000000000003</v>
          </cell>
          <cell r="I16">
            <v>11.04</v>
          </cell>
          <cell r="J16">
            <v>10.91</v>
          </cell>
          <cell r="K16">
            <v>10.41</v>
          </cell>
        </row>
        <row r="17">
          <cell r="G17" t="str">
            <v>DÒNG ĐIỆN TÍNH TOÁN
TOTAL CALCULATED CURRENT (A)</v>
          </cell>
          <cell r="H17">
            <v>50.18</v>
          </cell>
        </row>
        <row r="18">
          <cell r="G18" t="str">
            <v>LỘ VÀO
INCOMMING</v>
          </cell>
          <cell r="M18" t="str">
            <v>THIẾT BỊ BẢO VỆ TỔNG
MAIN CIRCUIT BRAKER</v>
          </cell>
          <cell r="Q18" t="str">
            <v>CÁP ĐIỆN/ THANH DẪN TỔNG
INCOMMING CABLE/ BUSDUCT</v>
          </cell>
          <cell r="S18" t="str">
            <v>GIẢI PHÁP LẮP ĐẶT
INSTALLATION METHOD</v>
          </cell>
        </row>
        <row r="19">
          <cell r="G19" t="str">
            <v>FROM LV-MSB</v>
          </cell>
          <cell r="M19" t="str">
            <v>MCCB</v>
          </cell>
          <cell r="N19" t="str">
            <v>3P</v>
          </cell>
          <cell r="O19" t="str">
            <v>80A</v>
          </cell>
          <cell r="P19" t="str">
            <v>25kA</v>
          </cell>
          <cell r="Q19" t="str">
            <v>4x(1Cx25) Cu/Mica/XLPE/LSZH</v>
          </cell>
          <cell r="R19" t="str">
            <v>(1Cx16) Cu/PVC</v>
          </cell>
          <cell r="S19" t="str">
            <v>IN CABLE TRAY</v>
          </cell>
        </row>
        <row r="20">
          <cell r="Q20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21">
          <cell r="G21" t="str">
            <v>3P</v>
          </cell>
          <cell r="H21" t="str">
            <v>80A</v>
          </cell>
          <cell r="I21" t="str">
            <v>25kA</v>
          </cell>
          <cell r="J21" t="str">
            <v>4x(1Cx25) Cu/Mica/XLPE/LSZH</v>
          </cell>
          <cell r="K21" t="str">
            <v>(1Cx16) Cu/PVC</v>
          </cell>
        </row>
        <row r="22">
          <cell r="G22" t="str">
            <v>80A</v>
          </cell>
          <cell r="H22" t="str">
            <v>25kA</v>
          </cell>
          <cell r="I22" t="str">
            <v>80/5A</v>
          </cell>
          <cell r="J22" t="str">
            <v>0-80A</v>
          </cell>
        </row>
      </sheetData>
      <sheetData sheetId="16">
        <row r="1">
          <cell r="G1" t="str">
            <v>MCP-B2F-SEAF.Z1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HÚT KHÓI B2F_KHOANG 1
POWER SUPPLY FOR THE SMOKE AIR FAN B2F_ZONE 1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SMOKE AIR FAN B2F_ZONE 1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SMOKE AIR FAN FOR BASEMENT 2_ZONE 1(VSD)</v>
          </cell>
          <cell r="H6">
            <v>27.5</v>
          </cell>
          <cell r="I6">
            <v>9.17</v>
          </cell>
          <cell r="J6">
            <v>9.17</v>
          </cell>
          <cell r="K6">
            <v>9.17</v>
          </cell>
          <cell r="M6" t="str">
            <v>MCCB</v>
          </cell>
          <cell r="N6" t="str">
            <v>3P</v>
          </cell>
          <cell r="O6" t="str">
            <v>63A</v>
          </cell>
          <cell r="P6" t="str">
            <v>18kA</v>
          </cell>
          <cell r="Q6" t="str">
            <v>3x(1Cx16) Cu/Mica/XLPE/LSZH</v>
          </cell>
          <cell r="R6" t="str">
            <v>(1Cx16) Cu/PVC</v>
          </cell>
          <cell r="S6" t="str">
            <v>IN CABLE TRAY</v>
          </cell>
        </row>
        <row r="7">
          <cell r="G7" t="str">
            <v>SMOKE AIR FAN FOR BASEMENT 2_ZONE 1(VSD)</v>
          </cell>
          <cell r="H7">
            <v>27.5</v>
          </cell>
          <cell r="I7">
            <v>9.17</v>
          </cell>
          <cell r="J7">
            <v>9.17</v>
          </cell>
          <cell r="K7">
            <v>9.17</v>
          </cell>
          <cell r="M7" t="str">
            <v>MCCB</v>
          </cell>
          <cell r="N7" t="str">
            <v>3P</v>
          </cell>
          <cell r="O7" t="str">
            <v>63A</v>
          </cell>
          <cell r="P7" t="str">
            <v>18kA</v>
          </cell>
          <cell r="Q7" t="str">
            <v>3x(1Cx16) Cu/Mica/XLPE/LSZH</v>
          </cell>
          <cell r="R7" t="str">
            <v>(1Cx16)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FIRE RATED ROLLER SHUTTER</v>
          </cell>
          <cell r="H9">
            <v>1.25</v>
          </cell>
          <cell r="J9">
            <v>1.25</v>
          </cell>
          <cell r="M9" t="str">
            <v>MCB</v>
          </cell>
          <cell r="N9" t="str">
            <v>2P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FIRE RATED ROLLER SHUTTER</v>
          </cell>
          <cell r="H10">
            <v>1.25</v>
          </cell>
          <cell r="K10">
            <v>1.25</v>
          </cell>
          <cell r="M10" t="str">
            <v>MCB</v>
          </cell>
          <cell r="N10" t="str">
            <v>2P</v>
          </cell>
          <cell r="O10" t="str">
            <v>16A</v>
          </cell>
          <cell r="P10" t="str">
            <v>6kA</v>
          </cell>
          <cell r="Q10" t="str">
            <v>2x(1Cx2.5) Cu/Mica/XLPE/LSZH</v>
          </cell>
          <cell r="R10" t="str">
            <v>(1Cx2.5) Cu/PVC</v>
          </cell>
          <cell r="S10" t="str">
            <v>IN PVC CONDUIT D25</v>
          </cell>
        </row>
        <row r="11">
          <cell r="G11" t="str">
            <v>FIRE RATED ROLLER SHUTTER</v>
          </cell>
          <cell r="H11">
            <v>1.25</v>
          </cell>
          <cell r="I11">
            <v>1.25</v>
          </cell>
          <cell r="M11" t="str">
            <v>MCB</v>
          </cell>
          <cell r="N11" t="str">
            <v>2P</v>
          </cell>
          <cell r="O11" t="str">
            <v>16A</v>
          </cell>
          <cell r="P11" t="str">
            <v>6kA</v>
          </cell>
          <cell r="Q11" t="str">
            <v>2x(1Cx2.5) Cu/Mica/XLPE/LSZH</v>
          </cell>
          <cell r="R11" t="str">
            <v>(1Cx2.5) Cu/PVC</v>
          </cell>
          <cell r="S11" t="str">
            <v>IN PVC CONDUIT D25</v>
          </cell>
        </row>
        <row r="12">
          <cell r="G12" t="str">
            <v>POWER SUPPLY AIR VALVE</v>
          </cell>
          <cell r="H12">
            <v>0.63</v>
          </cell>
          <cell r="J12">
            <v>0.63</v>
          </cell>
          <cell r="M12" t="str">
            <v>MCB</v>
          </cell>
          <cell r="N12" t="str">
            <v>1P</v>
          </cell>
          <cell r="O12" t="str">
            <v>16A</v>
          </cell>
          <cell r="P12" t="str">
            <v>6kA</v>
          </cell>
          <cell r="Q12" t="str">
            <v>2x(1Cx2.5) Cu/Mica/XLPE/LSZH</v>
          </cell>
          <cell r="R12" t="str">
            <v>(1Cx2.5) Cu/PVC</v>
          </cell>
          <cell r="S12" t="str">
            <v>IN PVC CONDUIT D25</v>
          </cell>
        </row>
        <row r="13">
          <cell r="G13" t="str">
            <v>CONTROL</v>
          </cell>
          <cell r="H13">
            <v>0.5</v>
          </cell>
          <cell r="K13">
            <v>0.5</v>
          </cell>
          <cell r="M13" t="str">
            <v>MCB</v>
          </cell>
          <cell r="N13" t="str">
            <v>1P</v>
          </cell>
          <cell r="O13" t="str">
            <v>16A</v>
          </cell>
          <cell r="P13" t="str">
            <v>6kA</v>
          </cell>
        </row>
        <row r="15">
          <cell r="G15" t="str">
            <v>TỔNG CÔNG SUẤT ĐỊNH MỨC
TOTAL RATE POWER (kVA)</v>
          </cell>
          <cell r="H15">
            <v>61.13</v>
          </cell>
          <cell r="I15">
            <v>20.84</v>
          </cell>
          <cell r="J15">
            <v>20.22</v>
          </cell>
          <cell r="K15">
            <v>20.09</v>
          </cell>
          <cell r="Q15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6">
          <cell r="G16" t="str">
            <v xml:space="preserve"> HỆ SỐ ĐỒNG THỜI
DIVERSITY FACTOR (Ks)</v>
          </cell>
          <cell r="H16">
            <v>1</v>
          </cell>
        </row>
        <row r="17">
          <cell r="G17" t="str">
            <v>TỔNG CÔNG SUẤT TÍNH TOÁN
TOTAL CALCULATED POWER (kVA)</v>
          </cell>
          <cell r="H17">
            <v>61.13</v>
          </cell>
          <cell r="I17">
            <v>20.84</v>
          </cell>
          <cell r="J17">
            <v>20.22</v>
          </cell>
          <cell r="K17">
            <v>20.09</v>
          </cell>
        </row>
        <row r="18">
          <cell r="G18" t="str">
            <v>DÒNG ĐIỆN TÍNH TOÁN
TOTAL CALCULATED CURRENT (A)</v>
          </cell>
          <cell r="H18">
            <v>94.73</v>
          </cell>
        </row>
        <row r="19">
          <cell r="G19" t="str">
            <v>LỘ VÀO
INCOMMING</v>
          </cell>
          <cell r="M19" t="str">
            <v>THIẾT BỊ BẢO VỆ TỔNG
MAIN CIRCUIT BRAKER</v>
          </cell>
          <cell r="Q19" t="str">
            <v>CÁP ĐIỆN/ THANH DẪN TỔNG
INCOMMING CABLE/ BUSDUCT</v>
          </cell>
          <cell r="S19" t="str">
            <v>GIẢI PHÁP LẮP ĐẶT
INSTALLATION METHOD</v>
          </cell>
        </row>
        <row r="20">
          <cell r="G20" t="str">
            <v>FROM LV-MSB</v>
          </cell>
          <cell r="M20" t="str">
            <v>MCCB</v>
          </cell>
          <cell r="N20" t="str">
            <v>3P</v>
          </cell>
          <cell r="O20" t="str">
            <v>125A</v>
          </cell>
          <cell r="P20" t="str">
            <v>25kA</v>
          </cell>
          <cell r="Q20" t="str">
            <v>4x(1Cx50) Cu/Mica/XLPE/LSZH</v>
          </cell>
          <cell r="R20" t="str">
            <v>(1Cx25) Cu/PVC</v>
          </cell>
          <cell r="S20" t="str">
            <v>IN CABLE TRAY</v>
          </cell>
        </row>
        <row r="21">
          <cell r="Q21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22">
          <cell r="G22" t="str">
            <v>3P</v>
          </cell>
          <cell r="H22" t="str">
            <v>125A</v>
          </cell>
          <cell r="I22" t="str">
            <v>25kA</v>
          </cell>
          <cell r="J22" t="str">
            <v>4x(1Cx50) Cu/Mica/XLPE/LSZH</v>
          </cell>
          <cell r="K22" t="str">
            <v>(1Cx25) Cu/PVC</v>
          </cell>
        </row>
        <row r="23">
          <cell r="G23" t="str">
            <v>125A</v>
          </cell>
          <cell r="H23" t="str">
            <v>25kA</v>
          </cell>
          <cell r="I23" t="str">
            <v>125/5A</v>
          </cell>
          <cell r="J23" t="str">
            <v>0-125A</v>
          </cell>
        </row>
      </sheetData>
      <sheetData sheetId="17">
        <row r="1">
          <cell r="G1" t="str">
            <v>MCP-B2F-SEAF.Z2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HÚT KHÓI B2F_KHOANG 2
POWER SUPPLY FOR THE SMOKE AIR FAN B2F_ZONE 2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SMOKE AIR FAN B2F_ZONE 2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SMOKE AIR FAN FOR BASEMENT 2_ZONE 2(VSD)</v>
          </cell>
          <cell r="H6">
            <v>27.5</v>
          </cell>
          <cell r="I6">
            <v>9.17</v>
          </cell>
          <cell r="J6">
            <v>9.17</v>
          </cell>
          <cell r="K6">
            <v>9.17</v>
          </cell>
          <cell r="M6" t="str">
            <v>MCCB</v>
          </cell>
          <cell r="N6" t="str">
            <v>3P</v>
          </cell>
          <cell r="O6" t="str">
            <v>63A</v>
          </cell>
          <cell r="P6" t="str">
            <v>18kA</v>
          </cell>
          <cell r="Q6" t="str">
            <v>3x(1Cx16) Cu/Mica/XLPE/LSZH</v>
          </cell>
          <cell r="R6" t="str">
            <v>(1Cx16) Cu/PVC</v>
          </cell>
          <cell r="S6" t="str">
            <v>IN CABLE TRAY</v>
          </cell>
        </row>
        <row r="7">
          <cell r="G7" t="str">
            <v>SMOKE AIR FAN FOR BASEMENT 2_ZONE 2(VSD)</v>
          </cell>
          <cell r="H7">
            <v>27.5</v>
          </cell>
          <cell r="I7">
            <v>9.17</v>
          </cell>
          <cell r="J7">
            <v>9.17</v>
          </cell>
          <cell r="K7">
            <v>9.17</v>
          </cell>
          <cell r="M7" t="str">
            <v>MCCB</v>
          </cell>
          <cell r="N7" t="str">
            <v>3P</v>
          </cell>
          <cell r="O7" t="str">
            <v>63A</v>
          </cell>
          <cell r="P7" t="str">
            <v>18kA</v>
          </cell>
          <cell r="Q7" t="str">
            <v>3x(1Cx16) Cu/Mica/XLPE/LSZH</v>
          </cell>
          <cell r="R7" t="str">
            <v>(1Cx16)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FIRE RATED ROLLER SHUTTER</v>
          </cell>
          <cell r="H9">
            <v>1.25</v>
          </cell>
          <cell r="J9">
            <v>1.25</v>
          </cell>
          <cell r="M9" t="str">
            <v>MCB</v>
          </cell>
          <cell r="N9" t="str">
            <v>2P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FIRE RATED ROLLER SHUTTER</v>
          </cell>
          <cell r="H10">
            <v>1.25</v>
          </cell>
          <cell r="K10">
            <v>1.25</v>
          </cell>
          <cell r="M10" t="str">
            <v>MCB</v>
          </cell>
          <cell r="N10" t="str">
            <v>2P</v>
          </cell>
          <cell r="O10" t="str">
            <v>16A</v>
          </cell>
          <cell r="P10" t="str">
            <v>6kA</v>
          </cell>
          <cell r="Q10" t="str">
            <v>2x(1Cx2.5) Cu/Mica/XLPE/LSZH</v>
          </cell>
          <cell r="R10" t="str">
            <v>(1Cx2.5) Cu/PVC</v>
          </cell>
          <cell r="S10" t="str">
            <v>IN PVC CONDUIT D25</v>
          </cell>
        </row>
        <row r="11">
          <cell r="G11" t="str">
            <v>POWER SUPPLY AIR VALVE</v>
          </cell>
          <cell r="H11">
            <v>0.63</v>
          </cell>
          <cell r="I11">
            <v>0.63</v>
          </cell>
          <cell r="M11" t="str">
            <v>MCB</v>
          </cell>
          <cell r="N11" t="str">
            <v>1P</v>
          </cell>
          <cell r="O11" t="str">
            <v>16A</v>
          </cell>
          <cell r="P11" t="str">
            <v>6kA</v>
          </cell>
          <cell r="Q11" t="str">
            <v>2x(1Cx2.5) Cu/Mica/XLPE/LSZH</v>
          </cell>
          <cell r="R11" t="str">
            <v>(1Cx2.5) Cu/PVC</v>
          </cell>
          <cell r="S11" t="str">
            <v>IN PVC CONDUIT D25</v>
          </cell>
        </row>
        <row r="12">
          <cell r="G12" t="str">
            <v>CONTROL</v>
          </cell>
          <cell r="H12">
            <v>0.5</v>
          </cell>
          <cell r="J12">
            <v>0.5</v>
          </cell>
          <cell r="M12" t="str">
            <v>MCB</v>
          </cell>
          <cell r="N12" t="str">
            <v>1P</v>
          </cell>
          <cell r="O12" t="str">
            <v>16A</v>
          </cell>
          <cell r="P12" t="str">
            <v>6kA</v>
          </cell>
        </row>
        <row r="14">
          <cell r="G14" t="str">
            <v>TỔNG CÔNG SUẤT ĐỊNH MỨC
TOTAL RATE POWER (kVA)</v>
          </cell>
          <cell r="H14">
            <v>59.88</v>
          </cell>
          <cell r="I14">
            <v>20.22</v>
          </cell>
          <cell r="J14">
            <v>20.09</v>
          </cell>
          <cell r="K14">
            <v>19.59</v>
          </cell>
          <cell r="Q14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5">
          <cell r="G15" t="str">
            <v xml:space="preserve"> HỆ SỐ ĐỒNG THỜI
DIVERSITY FACTOR (Ks)</v>
          </cell>
          <cell r="H15">
            <v>1</v>
          </cell>
        </row>
        <row r="16">
          <cell r="G16" t="str">
            <v>TỔNG CÔNG SUẤT TÍNH TOÁN
TOTAL CALCULATED POWER (kVA)</v>
          </cell>
          <cell r="H16">
            <v>59.88</v>
          </cell>
          <cell r="I16">
            <v>20.22</v>
          </cell>
          <cell r="J16">
            <v>20.09</v>
          </cell>
          <cell r="K16">
            <v>19.59</v>
          </cell>
        </row>
        <row r="17">
          <cell r="G17" t="str">
            <v>DÒNG ĐIỆN TÍNH TOÁN
TOTAL CALCULATED CURRENT (A)</v>
          </cell>
          <cell r="H17">
            <v>91.91</v>
          </cell>
        </row>
        <row r="18">
          <cell r="G18" t="str">
            <v>LỘ VÀO
INCOMMING</v>
          </cell>
          <cell r="M18" t="str">
            <v>THIẾT BỊ BẢO VỆ TỔNG
MAIN CIRCUIT BRAKER</v>
          </cell>
          <cell r="Q18" t="str">
            <v>CÁP ĐIỆN/ THANH DẪN TỔNG
INCOMMING CABLE/ BUSDUCT</v>
          </cell>
          <cell r="S18" t="str">
            <v>GIẢI PHÁP LẮP ĐẶT
INSTALLATION METHOD</v>
          </cell>
        </row>
        <row r="19">
          <cell r="G19" t="str">
            <v>FROM LV-MSB</v>
          </cell>
          <cell r="M19" t="str">
            <v>MCCB</v>
          </cell>
          <cell r="N19" t="str">
            <v>3P</v>
          </cell>
          <cell r="O19" t="str">
            <v>125A</v>
          </cell>
          <cell r="P19" t="str">
            <v>25kA</v>
          </cell>
          <cell r="Q19" t="str">
            <v>4x(1Cx50) Cu/Mica/XLPE/LSZH</v>
          </cell>
          <cell r="R19" t="str">
            <v>(1Cx25) Cu/PVC</v>
          </cell>
          <cell r="S19" t="str">
            <v>IN CABLE TRAY</v>
          </cell>
        </row>
        <row r="20">
          <cell r="Q20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21">
          <cell r="G21" t="str">
            <v>3P</v>
          </cell>
          <cell r="H21" t="str">
            <v>125A</v>
          </cell>
          <cell r="I21" t="str">
            <v>25kA</v>
          </cell>
          <cell r="J21" t="str">
            <v>4x(1Cx50) Cu/Mica/XLPE/LSZH</v>
          </cell>
          <cell r="K21" t="str">
            <v>(1Cx25) Cu/PVC</v>
          </cell>
        </row>
        <row r="22">
          <cell r="G22" t="str">
            <v>125A</v>
          </cell>
          <cell r="H22" t="str">
            <v>25kA</v>
          </cell>
          <cell r="I22" t="str">
            <v>125/5A</v>
          </cell>
          <cell r="J22" t="str">
            <v>0-125A</v>
          </cell>
        </row>
      </sheetData>
      <sheetData sheetId="18">
        <row r="1">
          <cell r="G1" t="str">
            <v>MCP-B2F-SEAF.Z3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HÚT KHÓI B2F_KHOANG 3
POWER SUPPLY FOR THE SMOKE AIR FAN B2F_ZONE 3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SMOKE AIR FAN B2F_ZONE 3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SMOKE AIR FAN FOR BASEMENT 2_ZONE 3(VSD)</v>
          </cell>
          <cell r="H6">
            <v>27.5</v>
          </cell>
          <cell r="I6">
            <v>9.17</v>
          </cell>
          <cell r="J6">
            <v>9.17</v>
          </cell>
          <cell r="K6">
            <v>9.17</v>
          </cell>
          <cell r="M6" t="str">
            <v>MCCB</v>
          </cell>
          <cell r="N6" t="str">
            <v>3P</v>
          </cell>
          <cell r="O6" t="str">
            <v>63A</v>
          </cell>
          <cell r="P6" t="str">
            <v>18kA</v>
          </cell>
          <cell r="Q6" t="str">
            <v>3x(1Cx16) Cu/Mica/XLPE/LSZH</v>
          </cell>
          <cell r="R6" t="str">
            <v>(1Cx16) Cu/PVC</v>
          </cell>
          <cell r="S6" t="str">
            <v>IN CABLE TRAY</v>
          </cell>
        </row>
        <row r="7">
          <cell r="G7" t="str">
            <v>SMOKE AIR FAN FOR BASEMENT 2_ZONE 3(VSD)</v>
          </cell>
          <cell r="H7">
            <v>27.5</v>
          </cell>
          <cell r="I7">
            <v>9.17</v>
          </cell>
          <cell r="J7">
            <v>9.17</v>
          </cell>
          <cell r="K7">
            <v>9.17</v>
          </cell>
          <cell r="M7" t="str">
            <v>MCCB</v>
          </cell>
          <cell r="N7" t="str">
            <v>3P</v>
          </cell>
          <cell r="O7" t="str">
            <v>63A</v>
          </cell>
          <cell r="P7" t="str">
            <v>18kA</v>
          </cell>
          <cell r="Q7" t="str">
            <v>3x(1Cx16) Cu/Mica/XLPE/LSZH</v>
          </cell>
          <cell r="R7" t="str">
            <v>(1Cx16)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25A</v>
          </cell>
          <cell r="P8" t="str">
            <v>6kA</v>
          </cell>
          <cell r="Q8" t="str">
            <v>2x(1Cx4.0) Cu/Mica/XLPE/LSZH</v>
          </cell>
          <cell r="R8" t="str">
            <v>(1Cx4.0) Cu/PVC</v>
          </cell>
          <cell r="S8" t="str">
            <v>IN PVC CONDUIT D32</v>
          </cell>
        </row>
        <row r="9">
          <cell r="G9" t="str">
            <v>POWER SUPPLY AIR VALVE</v>
          </cell>
          <cell r="H9">
            <v>0.63</v>
          </cell>
          <cell r="J9">
            <v>0.63</v>
          </cell>
          <cell r="M9" t="str">
            <v>MCB</v>
          </cell>
          <cell r="N9" t="str">
            <v>1P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CONTROL</v>
          </cell>
          <cell r="H10">
            <v>0.5</v>
          </cell>
          <cell r="K10">
            <v>0.5</v>
          </cell>
          <cell r="M10" t="str">
            <v>MCB</v>
          </cell>
          <cell r="N10" t="str">
            <v>1P</v>
          </cell>
          <cell r="O10" t="str">
            <v>16A</v>
          </cell>
          <cell r="P10" t="str">
            <v>6kA</v>
          </cell>
        </row>
        <row r="12">
          <cell r="G12" t="str">
            <v>TỔNG CÔNG SUẤT ĐỊNH MỨC
TOTAL RATE POWER (kVA)</v>
          </cell>
          <cell r="H12">
            <v>57.38</v>
          </cell>
          <cell r="I12">
            <v>19.59</v>
          </cell>
          <cell r="J12">
            <v>18.97</v>
          </cell>
          <cell r="K12">
            <v>18.84</v>
          </cell>
          <cell r="Q12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3">
          <cell r="G13" t="str">
            <v xml:space="preserve"> HỆ SỐ ĐỒNG THỜI
DIVERSITY FACTOR (Ks)</v>
          </cell>
          <cell r="H13">
            <v>1</v>
          </cell>
        </row>
        <row r="14">
          <cell r="G14" t="str">
            <v>TỔNG CÔNG SUẤT TÍNH TOÁN
TOTAL CALCULATED POWER (kVA)</v>
          </cell>
          <cell r="H14">
            <v>57.38</v>
          </cell>
          <cell r="I14">
            <v>19.59</v>
          </cell>
          <cell r="J14">
            <v>18.97</v>
          </cell>
          <cell r="K14">
            <v>18.84</v>
          </cell>
        </row>
        <row r="15">
          <cell r="G15" t="str">
            <v>DÒNG ĐIỆN TÍNH TOÁN
TOTAL CALCULATED CURRENT (A)</v>
          </cell>
          <cell r="H15">
            <v>89.05</v>
          </cell>
        </row>
        <row r="16">
          <cell r="G16" t="str">
            <v>LỘ VÀO
INCOMMING</v>
          </cell>
          <cell r="M16" t="str">
            <v>THIẾT BỊ BẢO VỆ TỔNG
MAIN CIRCUIT BRAKER</v>
          </cell>
          <cell r="Q16" t="str">
            <v>CÁP ĐIỆN/ THANH DẪN TỔNG
INCOMMING CABLE/ BUSDUCT</v>
          </cell>
          <cell r="S16" t="str">
            <v>GIẢI PHÁP LẮP ĐẶT
INSTALLATION METHOD</v>
          </cell>
        </row>
        <row r="17">
          <cell r="G17" t="str">
            <v>FROM LV-MSB</v>
          </cell>
          <cell r="M17" t="str">
            <v>MCCB</v>
          </cell>
          <cell r="N17" t="str">
            <v>3P</v>
          </cell>
          <cell r="O17" t="str">
            <v>125A</v>
          </cell>
          <cell r="P17" t="str">
            <v>25kA</v>
          </cell>
          <cell r="Q17" t="str">
            <v>4x(1Cx50) Cu/Mica/XLPE/LSZH</v>
          </cell>
          <cell r="R17" t="str">
            <v>(1Cx25) Cu/PVC</v>
          </cell>
          <cell r="S17" t="str">
            <v>IN CABLE TRAY</v>
          </cell>
        </row>
        <row r="18">
          <cell r="Q18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9">
          <cell r="G19" t="str">
            <v>3P</v>
          </cell>
          <cell r="H19" t="str">
            <v>125A</v>
          </cell>
          <cell r="I19" t="str">
            <v>25kA</v>
          </cell>
          <cell r="J19" t="str">
            <v>4x(1Cx50) Cu/Mica/XLPE/LSZH</v>
          </cell>
          <cell r="K19" t="str">
            <v>(1Cx25) Cu/PVC</v>
          </cell>
        </row>
        <row r="20">
          <cell r="G20" t="str">
            <v>125A</v>
          </cell>
          <cell r="H20" t="str">
            <v>25kA</v>
          </cell>
          <cell r="I20" t="str">
            <v>125/5A</v>
          </cell>
          <cell r="J20" t="str">
            <v>0-125A</v>
          </cell>
        </row>
      </sheetData>
      <sheetData sheetId="19">
        <row r="1">
          <cell r="G1" t="str">
            <v>MCP-B2F-SEAF.Z4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HÚT KHÓI B2F_KHOANG 4
POWER SUPPLY FOR THE SMOKE AIR FAN B2F_ZONE 4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SMOKE AIR FAN B2F_ZONE 4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SMOKE AIR FAN FOR BASEMENT 2_ZONE 4(VSD)</v>
          </cell>
          <cell r="H6">
            <v>23.13</v>
          </cell>
          <cell r="I6">
            <v>7.71</v>
          </cell>
          <cell r="J6">
            <v>7.71</v>
          </cell>
          <cell r="K6">
            <v>7.71</v>
          </cell>
          <cell r="M6" t="str">
            <v>MCCB</v>
          </cell>
          <cell r="N6" t="str">
            <v>3P</v>
          </cell>
          <cell r="O6" t="str">
            <v>50A</v>
          </cell>
          <cell r="P6" t="str">
            <v>18kA</v>
          </cell>
          <cell r="Q6" t="str">
            <v>3x(1Cx10) Cu/Mica/XLPE/LSZH</v>
          </cell>
          <cell r="R6" t="str">
            <v>(1Cx10) Cu/PVC</v>
          </cell>
          <cell r="S6" t="str">
            <v>IN CABLE TRAY</v>
          </cell>
        </row>
        <row r="7">
          <cell r="G7" t="str">
            <v>SMOKE AIR FAN FOR BASEMENT 2_ZONE 4(VSD)</v>
          </cell>
          <cell r="H7">
            <v>23.13</v>
          </cell>
          <cell r="I7">
            <v>7.71</v>
          </cell>
          <cell r="J7">
            <v>7.71</v>
          </cell>
          <cell r="K7">
            <v>7.71</v>
          </cell>
          <cell r="M7" t="str">
            <v>MCCB</v>
          </cell>
          <cell r="N7" t="str">
            <v>3P</v>
          </cell>
          <cell r="O7" t="str">
            <v>50A</v>
          </cell>
          <cell r="P7" t="str">
            <v>18kA</v>
          </cell>
          <cell r="Q7" t="str">
            <v>3x(1Cx10) Cu/Mica/XLPE/LSZH</v>
          </cell>
          <cell r="R7" t="str">
            <v>(1Cx10)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25A</v>
          </cell>
          <cell r="P8" t="str">
            <v>6kA</v>
          </cell>
          <cell r="Q8" t="str">
            <v>2x(1Cx4.0) Cu/Mica/XLPE/LSZH</v>
          </cell>
          <cell r="R8" t="str">
            <v>(1Cx4.0) Cu/PVC</v>
          </cell>
          <cell r="S8" t="str">
            <v>IN PVC CONDUIT D32</v>
          </cell>
        </row>
        <row r="9">
          <cell r="G9" t="str">
            <v>POWER SUPPLY AIR VALVE</v>
          </cell>
          <cell r="H9">
            <v>0.63</v>
          </cell>
          <cell r="J9">
            <v>0.63</v>
          </cell>
          <cell r="M9" t="str">
            <v>MCB</v>
          </cell>
          <cell r="N9" t="str">
            <v>1P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CONTROL</v>
          </cell>
          <cell r="H10">
            <v>0.5</v>
          </cell>
          <cell r="K10">
            <v>0.5</v>
          </cell>
          <cell r="M10" t="str">
            <v>MCB</v>
          </cell>
          <cell r="N10" t="str">
            <v>1P</v>
          </cell>
          <cell r="O10" t="str">
            <v>16A</v>
          </cell>
          <cell r="P10" t="str">
            <v>6kA</v>
          </cell>
        </row>
        <row r="12">
          <cell r="G12" t="str">
            <v>TỔNG CÔNG SUẤT ĐỊNH MỨC
TOTAL RATE POWER (kVA)</v>
          </cell>
          <cell r="H12">
            <v>48.64</v>
          </cell>
          <cell r="I12">
            <v>16.670000000000002</v>
          </cell>
          <cell r="J12">
            <v>16.05</v>
          </cell>
          <cell r="K12">
            <v>15.92</v>
          </cell>
          <cell r="Q12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3">
          <cell r="G13" t="str">
            <v xml:space="preserve"> HỆ SỐ ĐỒNG THỜI
DIVERSITY FACTOR (Ks)</v>
          </cell>
          <cell r="H13">
            <v>1</v>
          </cell>
        </row>
        <row r="14">
          <cell r="G14" t="str">
            <v>TỔNG CÔNG SUẤT TÍNH TOÁN
TOTAL CALCULATED POWER (kVA)</v>
          </cell>
          <cell r="H14">
            <v>48.64</v>
          </cell>
          <cell r="I14">
            <v>16.670000000000002</v>
          </cell>
          <cell r="J14">
            <v>16.05</v>
          </cell>
          <cell r="K14">
            <v>15.92</v>
          </cell>
        </row>
        <row r="15">
          <cell r="G15" t="str">
            <v>DÒNG ĐIỆN TÍNH TOÁN
TOTAL CALCULATED CURRENT (A)</v>
          </cell>
          <cell r="H15">
            <v>75.77</v>
          </cell>
        </row>
        <row r="16">
          <cell r="G16" t="str">
            <v>LỘ VÀO
INCOMMING</v>
          </cell>
          <cell r="M16" t="str">
            <v>THIẾT BỊ BẢO VỆ TỔNG
MAIN CIRCUIT BRAKER</v>
          </cell>
          <cell r="Q16" t="str">
            <v>CÁP ĐIỆN/ THANH DẪN TỔNG
INCOMMING CABLE/ BUSDUCT</v>
          </cell>
          <cell r="S16" t="str">
            <v>GIẢI PHÁP LẮP ĐẶT
INSTALLATION METHOD</v>
          </cell>
        </row>
        <row r="17">
          <cell r="G17" t="str">
            <v>FROM LV-MSB</v>
          </cell>
          <cell r="M17" t="str">
            <v>MCCB</v>
          </cell>
          <cell r="N17" t="str">
            <v>3P</v>
          </cell>
          <cell r="O17" t="str">
            <v>100A</v>
          </cell>
          <cell r="P17" t="str">
            <v>25kA</v>
          </cell>
          <cell r="Q17" t="str">
            <v>4x(1Cx35) Cu/Mica/XLPE/LSZH</v>
          </cell>
          <cell r="R17" t="str">
            <v>(1Cx16 Cu/PVC</v>
          </cell>
          <cell r="S17" t="str">
            <v>IN CABLE TRAY</v>
          </cell>
        </row>
        <row r="18">
          <cell r="Q18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9">
          <cell r="G19" t="str">
            <v>3P</v>
          </cell>
          <cell r="H19" t="str">
            <v>100A</v>
          </cell>
          <cell r="I19" t="str">
            <v>25kA</v>
          </cell>
          <cell r="J19" t="str">
            <v>4x(1Cx35) Cu/Mica/XLPE/LSZH</v>
          </cell>
          <cell r="K19" t="str">
            <v>(1Cx16 Cu/PVC</v>
          </cell>
        </row>
        <row r="20">
          <cell r="G20" t="str">
            <v>100A</v>
          </cell>
          <cell r="H20" t="str">
            <v>25kA</v>
          </cell>
          <cell r="I20" t="str">
            <v>100/5A</v>
          </cell>
          <cell r="J20" t="str">
            <v>0-100A</v>
          </cell>
        </row>
      </sheetData>
      <sheetData sheetId="20">
        <row r="1">
          <cell r="G1" t="str">
            <v>MCP-B2F-SEAF.Z5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HÚT KHÓI B2F_KHOANG 5
POWER SUPPLY FOR THE SMOKE AIR FAN B2F_ZONE 5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SMOKE AIR FAN B2F_ZONE 5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SMOKE AIR FAN FOR BASEMENT 2_ZONE 5(VSD)</v>
          </cell>
          <cell r="H6">
            <v>23.13</v>
          </cell>
          <cell r="I6">
            <v>7.71</v>
          </cell>
          <cell r="J6">
            <v>7.71</v>
          </cell>
          <cell r="K6">
            <v>7.71</v>
          </cell>
          <cell r="M6" t="str">
            <v>MCCB</v>
          </cell>
          <cell r="N6" t="str">
            <v>3P</v>
          </cell>
          <cell r="O6" t="str">
            <v>50A</v>
          </cell>
          <cell r="P6" t="str">
            <v>18kA</v>
          </cell>
          <cell r="Q6" t="str">
            <v>3x(1Cx10) Cu/Mica/XLPE/LSZH</v>
          </cell>
          <cell r="R6" t="str">
            <v>(1Cx10) Cu/PVC</v>
          </cell>
          <cell r="S6" t="str">
            <v>IN CABLE TRAY</v>
          </cell>
        </row>
        <row r="7">
          <cell r="G7" t="str">
            <v>SMOKE AIR FAN FOR BASEMENT 2_ZONE 5(VSD)</v>
          </cell>
          <cell r="H7">
            <v>23.13</v>
          </cell>
          <cell r="I7">
            <v>7.71</v>
          </cell>
          <cell r="J7">
            <v>7.71</v>
          </cell>
          <cell r="K7">
            <v>7.71</v>
          </cell>
          <cell r="M7" t="str">
            <v>MCCB</v>
          </cell>
          <cell r="N7" t="str">
            <v>3P</v>
          </cell>
          <cell r="O7" t="str">
            <v>50A</v>
          </cell>
          <cell r="P7" t="str">
            <v>18kA</v>
          </cell>
          <cell r="Q7" t="str">
            <v>3x(1Cx10) Cu/Mica/XLPE/LSZH</v>
          </cell>
          <cell r="R7" t="str">
            <v>(1Cx10) Cu/PVC</v>
          </cell>
          <cell r="S7" t="str">
            <v>IN CABLE TRAY</v>
          </cell>
        </row>
        <row r="8">
          <cell r="G8" t="str">
            <v>POWER SUPPLY AIR VALVE</v>
          </cell>
          <cell r="H8">
            <v>0.63</v>
          </cell>
          <cell r="I8">
            <v>0.63</v>
          </cell>
          <cell r="M8" t="str">
            <v>MCB</v>
          </cell>
          <cell r="N8" t="str">
            <v>1P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CONTROL</v>
          </cell>
          <cell r="H9">
            <v>0.5</v>
          </cell>
          <cell r="J9">
            <v>0.5</v>
          </cell>
          <cell r="M9" t="str">
            <v>MCB</v>
          </cell>
          <cell r="N9" t="str">
            <v>1P</v>
          </cell>
          <cell r="O9" t="str">
            <v>16A</v>
          </cell>
          <cell r="P9" t="str">
            <v>6kA</v>
          </cell>
        </row>
        <row r="11">
          <cell r="G11" t="str">
            <v>TỔNG CÔNG SUẤT ĐỊNH MỨC
TOTAL RATE POWER (kVA)</v>
          </cell>
          <cell r="H11">
            <v>47.39</v>
          </cell>
          <cell r="I11">
            <v>16.05</v>
          </cell>
          <cell r="J11">
            <v>15.92</v>
          </cell>
          <cell r="K11">
            <v>15.42</v>
          </cell>
          <cell r="Q11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2">
          <cell r="G12" t="str">
            <v xml:space="preserve"> HỆ SỐ ĐỒNG THỜI
DIVERSITY FACTOR (Ks)</v>
          </cell>
          <cell r="H12">
            <v>1</v>
          </cell>
        </row>
        <row r="13">
          <cell r="G13" t="str">
            <v>TỔNG CÔNG SUẤT TÍNH TOÁN
TOTAL CALCULATED POWER (kVA)</v>
          </cell>
          <cell r="H13">
            <v>47.39</v>
          </cell>
          <cell r="I13">
            <v>16.05</v>
          </cell>
          <cell r="J13">
            <v>15.92</v>
          </cell>
          <cell r="K13">
            <v>15.42</v>
          </cell>
        </row>
        <row r="14">
          <cell r="G14" t="str">
            <v>DÒNG ĐIỆN TÍNH TOÁN
TOTAL CALCULATED CURRENT (A)</v>
          </cell>
          <cell r="H14">
            <v>72.95</v>
          </cell>
        </row>
        <row r="15">
          <cell r="G15" t="str">
            <v>LỘ VÀO
INCOMMING</v>
          </cell>
          <cell r="M15" t="str">
            <v>THIẾT BỊ BẢO VỆ TỔNG
MAIN CIRCUIT BRAKER</v>
          </cell>
          <cell r="Q15" t="str">
            <v>CÁP ĐIỆN/ THANH DẪN TỔNG
INCOMMING CABLE/ BUSDUCT</v>
          </cell>
          <cell r="S15" t="str">
            <v>GIẢI PHÁP LẮP ĐẶT
INSTALLATION METHOD</v>
          </cell>
        </row>
        <row r="16">
          <cell r="G16" t="str">
            <v>FROM LV-MSB</v>
          </cell>
          <cell r="M16" t="str">
            <v>MCCB</v>
          </cell>
          <cell r="N16" t="str">
            <v>3P</v>
          </cell>
          <cell r="O16" t="str">
            <v>100A</v>
          </cell>
          <cell r="P16" t="str">
            <v>25kA</v>
          </cell>
          <cell r="Q16" t="str">
            <v>4x(1Cx35) Cu/Mica/XLPE/LSZH</v>
          </cell>
          <cell r="R16" t="str">
            <v>(1Cx16) Cu/PVC</v>
          </cell>
          <cell r="S16" t="str">
            <v>IN CABLE TRAY</v>
          </cell>
        </row>
        <row r="17">
          <cell r="Q17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8">
          <cell r="G18" t="str">
            <v>3P</v>
          </cell>
          <cell r="H18" t="str">
            <v>100A</v>
          </cell>
          <cell r="I18" t="str">
            <v>25kA</v>
          </cell>
          <cell r="J18" t="str">
            <v>4x(1Cx35) Cu/Mica/XLPE/LSZH</v>
          </cell>
          <cell r="K18" t="str">
            <v>(1Cx16) Cu/PVC</v>
          </cell>
        </row>
        <row r="19">
          <cell r="G19" t="str">
            <v>100A</v>
          </cell>
          <cell r="H19" t="str">
            <v>25kA</v>
          </cell>
          <cell r="I19" t="str">
            <v>100/5A</v>
          </cell>
          <cell r="J19" t="str">
            <v>0-100A</v>
          </cell>
        </row>
      </sheetData>
      <sheetData sheetId="21">
        <row r="1">
          <cell r="G1" t="str">
            <v>MCP-B2F-SEAF.Z6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HÚT KHÓI B2F_KHOANG 6
POWER SUPPLY FOR THE SMOKE AIR FAN B2F_ZONE 6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SMOKE AIR FAN B2F_ZONE 6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SMOKE AIR FAN FOR BASEMENT 2_ZONE 6(VSD)</v>
          </cell>
          <cell r="H6">
            <v>27.5</v>
          </cell>
          <cell r="I6">
            <v>9.17</v>
          </cell>
          <cell r="J6">
            <v>9.17</v>
          </cell>
          <cell r="K6">
            <v>9.17</v>
          </cell>
          <cell r="M6" t="str">
            <v>MCCB</v>
          </cell>
          <cell r="N6" t="str">
            <v>3P</v>
          </cell>
          <cell r="O6" t="str">
            <v>63A</v>
          </cell>
          <cell r="P6" t="str">
            <v>18kA</v>
          </cell>
          <cell r="Q6" t="str">
            <v>3x(1Cx16) Cu/Mica/XLPE/LSZH</v>
          </cell>
          <cell r="R6" t="str">
            <v>(1Cx16) Cu/PVC</v>
          </cell>
          <cell r="S6" t="str">
            <v>IN CABLE TRAY</v>
          </cell>
        </row>
        <row r="7">
          <cell r="G7" t="str">
            <v>SMOKE AIR FAN FOR BASEMENT 2_ZONE 6(VSD)</v>
          </cell>
          <cell r="H7">
            <v>27.5</v>
          </cell>
          <cell r="I7">
            <v>9.17</v>
          </cell>
          <cell r="J7">
            <v>9.17</v>
          </cell>
          <cell r="K7">
            <v>9.17</v>
          </cell>
          <cell r="M7" t="str">
            <v>MCCB</v>
          </cell>
          <cell r="N7" t="str">
            <v>3P</v>
          </cell>
          <cell r="O7" t="str">
            <v>63A</v>
          </cell>
          <cell r="P7" t="str">
            <v>18kA</v>
          </cell>
          <cell r="Q7" t="str">
            <v>3x(1Cx16) Cu/Mica/XLPE/LSZH</v>
          </cell>
          <cell r="R7" t="str">
            <v>(1Cx16) Cu/PVC</v>
          </cell>
          <cell r="S7" t="str">
            <v>IN CABLE TRAY</v>
          </cell>
        </row>
        <row r="8">
          <cell r="G8" t="str">
            <v>POWER SUPPLY AIR VALVE</v>
          </cell>
          <cell r="H8">
            <v>0.63</v>
          </cell>
          <cell r="I8">
            <v>0.63</v>
          </cell>
          <cell r="M8" t="str">
            <v>MCB</v>
          </cell>
          <cell r="N8" t="str">
            <v>1P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CONTROL</v>
          </cell>
          <cell r="H9">
            <v>0.5</v>
          </cell>
          <cell r="J9">
            <v>0.5</v>
          </cell>
          <cell r="M9" t="str">
            <v>MCB</v>
          </cell>
          <cell r="N9" t="str">
            <v>1P</v>
          </cell>
          <cell r="O9" t="str">
            <v>16A</v>
          </cell>
          <cell r="P9" t="str">
            <v>6kA</v>
          </cell>
        </row>
        <row r="11">
          <cell r="G11" t="str">
            <v>TỔNG CÔNG SUẤT ĐỊNH MỨC
TOTAL RATE POWER (kVA)</v>
          </cell>
          <cell r="H11">
            <v>56.13</v>
          </cell>
          <cell r="I11">
            <v>18.97</v>
          </cell>
          <cell r="J11">
            <v>18.84</v>
          </cell>
          <cell r="K11">
            <v>18.34</v>
          </cell>
          <cell r="Q11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2">
          <cell r="G12" t="str">
            <v xml:space="preserve"> HỆ SỐ ĐỒNG THỜI
DIVERSITY FACTOR (Ks)</v>
          </cell>
          <cell r="H12">
            <v>1</v>
          </cell>
        </row>
        <row r="13">
          <cell r="G13" t="str">
            <v>TỔNG CÔNG SUẤT TÍNH TOÁN
TOTAL CALCULATED POWER (kVA)</v>
          </cell>
          <cell r="H13">
            <v>56.13</v>
          </cell>
          <cell r="I13">
            <v>18.97</v>
          </cell>
          <cell r="J13">
            <v>18.84</v>
          </cell>
          <cell r="K13">
            <v>18.34</v>
          </cell>
        </row>
        <row r="14">
          <cell r="G14" t="str">
            <v>DÒNG ĐIỆN TÍNH TOÁN
TOTAL CALCULATED CURRENT (A)</v>
          </cell>
          <cell r="H14">
            <v>86.23</v>
          </cell>
        </row>
        <row r="15">
          <cell r="G15" t="str">
            <v>LỘ VÀO
INCOMMING</v>
          </cell>
          <cell r="M15" t="str">
            <v>THIẾT BỊ BẢO VỆ TỔNG
MAIN CIRCUIT BRAKER</v>
          </cell>
          <cell r="Q15" t="str">
            <v>CÁP ĐIỆN/ THANH DẪN TỔNG
INCOMMING CABLE/ BUSDUCT</v>
          </cell>
          <cell r="S15" t="str">
            <v>GIẢI PHÁP LẮP ĐẶT
INSTALLATION METHOD</v>
          </cell>
        </row>
        <row r="16">
          <cell r="G16" t="str">
            <v>FROM LV-MSB</v>
          </cell>
          <cell r="M16" t="str">
            <v>MCCB</v>
          </cell>
          <cell r="N16" t="str">
            <v>3P</v>
          </cell>
          <cell r="O16" t="str">
            <v>125A</v>
          </cell>
          <cell r="P16" t="str">
            <v>25kA</v>
          </cell>
          <cell r="Q16" t="str">
            <v>4x(1Cx50) Cu/Mica/XLPE/LSZH</v>
          </cell>
          <cell r="R16" t="str">
            <v>(1Cx25) Cu/PVC</v>
          </cell>
          <cell r="S16" t="str">
            <v>IN CABLE TRAY</v>
          </cell>
        </row>
        <row r="17">
          <cell r="Q17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8">
          <cell r="G18" t="str">
            <v>3P</v>
          </cell>
          <cell r="H18" t="str">
            <v>125A</v>
          </cell>
          <cell r="I18" t="str">
            <v>25kA</v>
          </cell>
          <cell r="J18" t="str">
            <v>4x(1Cx50) Cu/Mica/XLPE/LSZH</v>
          </cell>
          <cell r="K18" t="str">
            <v>(1Cx25) Cu/PVC</v>
          </cell>
        </row>
        <row r="19">
          <cell r="G19" t="str">
            <v>125A</v>
          </cell>
          <cell r="H19" t="str">
            <v>25kA</v>
          </cell>
          <cell r="I19" t="str">
            <v>125/5A</v>
          </cell>
          <cell r="J19" t="str">
            <v>0-125A</v>
          </cell>
        </row>
      </sheetData>
      <sheetData sheetId="22">
        <row r="1">
          <cell r="G1" t="str">
            <v>MCP-B2F-SEAF.Z7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HÚT KHÓI B2F_KHOANG 7
POWER SUPPLY FOR THE SMOKE AIR FAN B2F_ZONE 7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SMOKE AIR FAN B2F_ZONE 7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SMOKE AIR FAN FOR BASEMENT 2_ZONE 7(VSD)</v>
          </cell>
          <cell r="H6">
            <v>23.13</v>
          </cell>
          <cell r="I6">
            <v>7.71</v>
          </cell>
          <cell r="J6">
            <v>7.71</v>
          </cell>
          <cell r="K6">
            <v>7.71</v>
          </cell>
          <cell r="M6" t="str">
            <v>MCCB</v>
          </cell>
          <cell r="N6" t="str">
            <v>3P</v>
          </cell>
          <cell r="O6" t="str">
            <v>50A</v>
          </cell>
          <cell r="P6" t="str">
            <v>18kA</v>
          </cell>
          <cell r="Q6" t="str">
            <v>3x(1Cx10) Cu/Mica/XLPE/LSZH</v>
          </cell>
          <cell r="R6" t="str">
            <v>(1Cx10) Cu/PVC</v>
          </cell>
          <cell r="S6" t="str">
            <v>IN CABLE TRAY</v>
          </cell>
        </row>
        <row r="7">
          <cell r="G7" t="str">
            <v>SMOKE AIR FAN FOR BASEMENT 2_ZONE 7(VSD)</v>
          </cell>
          <cell r="H7">
            <v>23.13</v>
          </cell>
          <cell r="I7">
            <v>7.71</v>
          </cell>
          <cell r="J7">
            <v>7.71</v>
          </cell>
          <cell r="K7">
            <v>7.71</v>
          </cell>
          <cell r="M7" t="str">
            <v>MCCB</v>
          </cell>
          <cell r="N7" t="str">
            <v>3P</v>
          </cell>
          <cell r="O7" t="str">
            <v>50A</v>
          </cell>
          <cell r="P7" t="str">
            <v>18kA</v>
          </cell>
          <cell r="Q7" t="str">
            <v>3x(1Cx10) Cu/Mica/XLPE/LSZH</v>
          </cell>
          <cell r="R7" t="str">
            <v>(1Cx10)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FIRE RATED ROLLER SHUTTER</v>
          </cell>
          <cell r="H9">
            <v>1.25</v>
          </cell>
          <cell r="J9">
            <v>1.25</v>
          </cell>
          <cell r="M9" t="str">
            <v>MCB</v>
          </cell>
          <cell r="N9" t="str">
            <v>2P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POWER SUPPLY AIR VALVE</v>
          </cell>
          <cell r="H10">
            <v>0.63</v>
          </cell>
          <cell r="K10">
            <v>0.63</v>
          </cell>
          <cell r="M10" t="str">
            <v>MCB</v>
          </cell>
          <cell r="N10" t="str">
            <v>1P</v>
          </cell>
          <cell r="O10" t="str">
            <v>16A</v>
          </cell>
          <cell r="P10" t="str">
            <v>6kA</v>
          </cell>
          <cell r="Q10" t="str">
            <v>2x(1Cx2.5) Cu/Mica/XLPE/LSZH</v>
          </cell>
          <cell r="R10" t="str">
            <v>(1Cx2.5) Cu/PVC</v>
          </cell>
          <cell r="S10" t="str">
            <v>IN PVC CONDUIT D25</v>
          </cell>
        </row>
        <row r="11">
          <cell r="G11" t="str">
            <v>CONTROL</v>
          </cell>
          <cell r="H11">
            <v>0.5</v>
          </cell>
          <cell r="I11">
            <v>0.5</v>
          </cell>
          <cell r="M11" t="str">
            <v>MCB</v>
          </cell>
          <cell r="N11" t="str">
            <v>1P</v>
          </cell>
          <cell r="O11" t="str">
            <v>16A</v>
          </cell>
          <cell r="P11" t="str">
            <v>6kA</v>
          </cell>
        </row>
        <row r="13">
          <cell r="G13" t="str">
            <v>TỔNG CÔNG SUẤT ĐỊNH MỨC
TOTAL RATE POWER (kVA)</v>
          </cell>
          <cell r="H13">
            <v>49.89</v>
          </cell>
          <cell r="I13">
            <v>17.170000000000002</v>
          </cell>
          <cell r="J13">
            <v>16.670000000000002</v>
          </cell>
          <cell r="K13">
            <v>16.05</v>
          </cell>
          <cell r="Q13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4">
          <cell r="G14" t="str">
            <v xml:space="preserve"> HỆ SỐ ĐỒNG THỜI
DIVERSITY FACTOR (Ks)</v>
          </cell>
          <cell r="H14">
            <v>1</v>
          </cell>
        </row>
        <row r="15">
          <cell r="G15" t="str">
            <v>TỔNG CÔNG SUẤT TÍNH TOÁN
TOTAL CALCULATED POWER (kVA)</v>
          </cell>
          <cell r="H15">
            <v>49.89</v>
          </cell>
          <cell r="I15">
            <v>17.170000000000002</v>
          </cell>
          <cell r="J15">
            <v>16.670000000000002</v>
          </cell>
          <cell r="K15">
            <v>16.05</v>
          </cell>
        </row>
        <row r="16">
          <cell r="G16" t="str">
            <v>DÒNG ĐIỆN TÍNH TOÁN
TOTAL CALCULATED CURRENT (A)</v>
          </cell>
          <cell r="H16">
            <v>78.05</v>
          </cell>
        </row>
        <row r="17">
          <cell r="G17" t="str">
            <v>LỘ VÀO
INCOMMING</v>
          </cell>
          <cell r="M17" t="str">
            <v>THIẾT BỊ BẢO VỆ TỔNG
MAIN CIRCUIT BRAKER</v>
          </cell>
          <cell r="Q17" t="str">
            <v>CÁP ĐIỆN/ THANH DẪN TỔNG
INCOMMING CABLE/ BUSDUCT</v>
          </cell>
          <cell r="S17" t="str">
            <v>GIẢI PHÁP LẮP ĐẶT
INSTALLATION METHOD</v>
          </cell>
        </row>
        <row r="18">
          <cell r="G18" t="str">
            <v>FROM LV-MSB</v>
          </cell>
          <cell r="M18" t="str">
            <v>MCCB</v>
          </cell>
          <cell r="N18" t="str">
            <v>3P</v>
          </cell>
          <cell r="O18" t="str">
            <v>125A</v>
          </cell>
          <cell r="P18" t="str">
            <v>25kA</v>
          </cell>
          <cell r="Q18" t="str">
            <v>4x(1Cx50) Cu/Mica/XLPE/LSZH</v>
          </cell>
          <cell r="R18" t="str">
            <v>(1Cx25) Cu/PVC</v>
          </cell>
          <cell r="S18" t="str">
            <v>IN CABLE TRAY</v>
          </cell>
        </row>
        <row r="19">
          <cell r="Q19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20">
          <cell r="G20" t="str">
            <v>3P</v>
          </cell>
          <cell r="H20" t="str">
            <v>125A</v>
          </cell>
          <cell r="I20" t="str">
            <v>25kA</v>
          </cell>
          <cell r="J20" t="str">
            <v>4x(1Cx50) Cu/Mica/XLPE/LSZH</v>
          </cell>
          <cell r="K20" t="str">
            <v>(1Cx25) Cu/PVC</v>
          </cell>
        </row>
        <row r="21">
          <cell r="G21" t="str">
            <v>125A</v>
          </cell>
          <cell r="H21" t="str">
            <v>25kA</v>
          </cell>
          <cell r="I21" t="str">
            <v>125/5A</v>
          </cell>
          <cell r="J21" t="str">
            <v>0-125A</v>
          </cell>
        </row>
      </sheetData>
      <sheetData sheetId="23">
        <row r="1">
          <cell r="G1" t="str">
            <v>MCP-B2F-SEAF.Z8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HÚT KHÓI B2F_KHOANG 8
POWER SUPPLY FOR THE SMOKE AIR FAN B2F_ZONE 8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SMOKE AIR FAN B2F_ZONE 8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SMOKE AIR FAN FOR BASEMENT 2_ZONE 8(VSD)</v>
          </cell>
          <cell r="H6">
            <v>23.13</v>
          </cell>
          <cell r="I6">
            <v>7.71</v>
          </cell>
          <cell r="J6">
            <v>7.71</v>
          </cell>
          <cell r="K6">
            <v>7.71</v>
          </cell>
          <cell r="M6" t="str">
            <v>MCCB</v>
          </cell>
          <cell r="N6" t="str">
            <v>3P</v>
          </cell>
          <cell r="O6" t="str">
            <v>50A</v>
          </cell>
          <cell r="P6" t="str">
            <v>18kA</v>
          </cell>
          <cell r="Q6" t="str">
            <v>3x(1Cx10) Cu/Mica/XLPE/LSZH</v>
          </cell>
          <cell r="R6" t="str">
            <v>(1Cx10) Cu/PVC</v>
          </cell>
          <cell r="S6" t="str">
            <v>IN CABLE TRAY</v>
          </cell>
        </row>
        <row r="7">
          <cell r="G7" t="str">
            <v>SMOKE AIR FAN FOR BASEMENT 2_ZONE 8(VSD)</v>
          </cell>
          <cell r="H7">
            <v>23.13</v>
          </cell>
          <cell r="I7">
            <v>7.71</v>
          </cell>
          <cell r="J7">
            <v>7.71</v>
          </cell>
          <cell r="K7">
            <v>7.71</v>
          </cell>
          <cell r="M7" t="str">
            <v>MCCB</v>
          </cell>
          <cell r="N7" t="str">
            <v>3P</v>
          </cell>
          <cell r="O7" t="str">
            <v>50A</v>
          </cell>
          <cell r="P7" t="str">
            <v>18kA</v>
          </cell>
          <cell r="Q7" t="str">
            <v>3x(1Cx10) Cu/Mica/XLPE/LSZH</v>
          </cell>
          <cell r="R7" t="str">
            <v>(1Cx10) Cu/PVC</v>
          </cell>
          <cell r="S7" t="str">
            <v>IN CABLE TRAY</v>
          </cell>
        </row>
        <row r="8">
          <cell r="G8" t="str">
            <v>FIRE RATED ROLLER SHUTTER</v>
          </cell>
          <cell r="H8">
            <v>1.25</v>
          </cell>
          <cell r="I8">
            <v>1.25</v>
          </cell>
          <cell r="M8" t="str">
            <v>MCB</v>
          </cell>
          <cell r="N8" t="str">
            <v>2P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POWER SUPPLY AIR VALVE</v>
          </cell>
          <cell r="H9">
            <v>0.63</v>
          </cell>
          <cell r="J9">
            <v>0.63</v>
          </cell>
          <cell r="M9" t="str">
            <v>MCB</v>
          </cell>
          <cell r="N9" t="str">
            <v>1P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CONTROL</v>
          </cell>
          <cell r="H10">
            <v>0.5</v>
          </cell>
          <cell r="K10">
            <v>0.5</v>
          </cell>
          <cell r="M10" t="str">
            <v>MCB</v>
          </cell>
          <cell r="N10" t="str">
            <v>1P</v>
          </cell>
          <cell r="O10" t="str">
            <v>16A</v>
          </cell>
          <cell r="P10" t="str">
            <v>6kA</v>
          </cell>
        </row>
        <row r="12">
          <cell r="G12" t="str">
            <v>TỔNG CÔNG SUẤT ĐỊNH MỨC
TOTAL RATE POWER (kVA)</v>
          </cell>
          <cell r="H12">
            <v>48.64</v>
          </cell>
          <cell r="I12">
            <v>16.670000000000002</v>
          </cell>
          <cell r="J12">
            <v>16.05</v>
          </cell>
          <cell r="K12">
            <v>15.92</v>
          </cell>
          <cell r="Q12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3">
          <cell r="G13" t="str">
            <v xml:space="preserve"> HỆ SỐ ĐỒNG THỜI
DIVERSITY FACTOR (Ks)</v>
          </cell>
          <cell r="H13">
            <v>1</v>
          </cell>
        </row>
        <row r="14">
          <cell r="G14" t="str">
            <v>TỔNG CÔNG SUẤT TÍNH TOÁN
TOTAL CALCULATED POWER (kVA)</v>
          </cell>
          <cell r="H14">
            <v>48.64</v>
          </cell>
          <cell r="I14">
            <v>16.670000000000002</v>
          </cell>
          <cell r="J14">
            <v>16.05</v>
          </cell>
          <cell r="K14">
            <v>15.92</v>
          </cell>
        </row>
        <row r="15">
          <cell r="G15" t="str">
            <v>DÒNG ĐIỆN TÍNH TOÁN
TOTAL CALCULATED CURRENT (A)</v>
          </cell>
          <cell r="H15">
            <v>75.77</v>
          </cell>
        </row>
        <row r="16">
          <cell r="G16" t="str">
            <v>LỘ VÀO
INCOMMING</v>
          </cell>
          <cell r="M16" t="str">
            <v>THIẾT BỊ BẢO VỆ TỔNG
MAIN CIRCUIT BRAKER</v>
          </cell>
          <cell r="Q16" t="str">
            <v>CÁP ĐIỆN/ THANH DẪN TỔNG
INCOMMING CABLE/ BUSDUCT</v>
          </cell>
          <cell r="S16" t="str">
            <v>GIẢI PHÁP LẮP ĐẶT
INSTALLATION METHOD</v>
          </cell>
        </row>
        <row r="17">
          <cell r="G17" t="str">
            <v>FROM LV-MSB</v>
          </cell>
          <cell r="M17" t="str">
            <v>MCCB</v>
          </cell>
          <cell r="N17" t="str">
            <v>3P</v>
          </cell>
          <cell r="O17" t="str">
            <v>125A</v>
          </cell>
          <cell r="P17" t="str">
            <v>25kA</v>
          </cell>
          <cell r="Q17" t="str">
            <v>4x(1Cx50) Cu/Mica/XLPE/LSZH</v>
          </cell>
          <cell r="R17" t="str">
            <v>(1Cx25) Cu/PVC</v>
          </cell>
          <cell r="S17" t="str">
            <v>IN CABLE TRAY</v>
          </cell>
        </row>
        <row r="18">
          <cell r="Q18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9">
          <cell r="G19" t="str">
            <v>3P</v>
          </cell>
          <cell r="H19" t="str">
            <v>125A</v>
          </cell>
          <cell r="I19" t="str">
            <v>25kA</v>
          </cell>
          <cell r="J19" t="str">
            <v>4x(1Cx50) Cu/Mica/XLPE/LSZH</v>
          </cell>
          <cell r="K19" t="str">
            <v>(1Cx25) Cu/PVC</v>
          </cell>
        </row>
        <row r="20">
          <cell r="G20" t="str">
            <v>125A</v>
          </cell>
          <cell r="H20" t="str">
            <v>25kA</v>
          </cell>
          <cell r="I20" t="str">
            <v>125/5A</v>
          </cell>
          <cell r="J20" t="str">
            <v>0-125A</v>
          </cell>
        </row>
      </sheetData>
      <sheetData sheetId="24">
        <row r="1">
          <cell r="G1" t="str">
            <v>MCP-B2F-SEAF.Z9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HÚT KHÓI B2F_KHOANG 9
POWER SUPPLY FOR THE SMOKE AIR FAN B2F_ZONE 9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SMOKE AIR FAN B2F_ZONE 9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SMOKE AIR FAN FOR BASEMENT 2_ZONE 9 (VSD)</v>
          </cell>
          <cell r="H6">
            <v>27.5</v>
          </cell>
          <cell r="I6">
            <v>9.17</v>
          </cell>
          <cell r="J6">
            <v>9.17</v>
          </cell>
          <cell r="K6">
            <v>9.17</v>
          </cell>
          <cell r="M6" t="str">
            <v>MCCB</v>
          </cell>
          <cell r="N6" t="str">
            <v>3P</v>
          </cell>
          <cell r="O6" t="str">
            <v>63A</v>
          </cell>
          <cell r="P6" t="str">
            <v>18kA</v>
          </cell>
          <cell r="Q6" t="str">
            <v>3x(1Cx16) Cu/Mica/XLPE/LSZH</v>
          </cell>
          <cell r="R6" t="str">
            <v>(1Cx16) Cu/PVC</v>
          </cell>
          <cell r="S6" t="str">
            <v>IN CABLE TRAY</v>
          </cell>
        </row>
        <row r="7">
          <cell r="G7" t="str">
            <v>SMOKE AIR FAN FOR BASEMENT 2_ZONE 9 (VSD)</v>
          </cell>
          <cell r="H7">
            <v>27.5</v>
          </cell>
          <cell r="I7">
            <v>9.17</v>
          </cell>
          <cell r="J7">
            <v>9.17</v>
          </cell>
          <cell r="K7">
            <v>9.17</v>
          </cell>
          <cell r="M7" t="str">
            <v>MCCB</v>
          </cell>
          <cell r="N7" t="str">
            <v>3P</v>
          </cell>
          <cell r="O7" t="str">
            <v>63A</v>
          </cell>
          <cell r="P7" t="str">
            <v>18kA</v>
          </cell>
          <cell r="Q7" t="str">
            <v>3x(1Cx16) Cu/Mica/XLPE/LSZH</v>
          </cell>
          <cell r="R7" t="str">
            <v>(1Cx16) Cu/PVC</v>
          </cell>
          <cell r="S7" t="str">
            <v>IN CABLE TRAY</v>
          </cell>
        </row>
        <row r="8">
          <cell r="G8" t="str">
            <v>POWER SUPPLY AIR VALVE</v>
          </cell>
          <cell r="H8">
            <v>0.63</v>
          </cell>
          <cell r="I8">
            <v>0.63</v>
          </cell>
          <cell r="M8" t="str">
            <v>MCB</v>
          </cell>
          <cell r="N8" t="str">
            <v>1P</v>
          </cell>
          <cell r="O8" t="str">
            <v>16A</v>
          </cell>
          <cell r="P8" t="str">
            <v>6kA</v>
          </cell>
          <cell r="Q8" t="str">
            <v>2x(1Cx2.5) Cu/Mica/XLPE/LSZH</v>
          </cell>
          <cell r="R8" t="str">
            <v>(1Cx2.5) Cu/PVC</v>
          </cell>
          <cell r="S8" t="str">
            <v>IN PVC CONDUIT D25</v>
          </cell>
        </row>
        <row r="9">
          <cell r="G9" t="str">
            <v>CONTROL</v>
          </cell>
          <cell r="H9">
            <v>0.5</v>
          </cell>
          <cell r="J9">
            <v>0.5</v>
          </cell>
          <cell r="M9" t="str">
            <v>MCB</v>
          </cell>
          <cell r="N9" t="str">
            <v>1P</v>
          </cell>
          <cell r="O9" t="str">
            <v>16A</v>
          </cell>
          <cell r="P9" t="str">
            <v>6kA</v>
          </cell>
        </row>
        <row r="11">
          <cell r="G11" t="str">
            <v>TỔNG CÔNG SUẤT ĐỊNH MỨC
TOTAL RATE POWER (kVA)</v>
          </cell>
          <cell r="H11">
            <v>56.13</v>
          </cell>
          <cell r="I11">
            <v>18.97</v>
          </cell>
          <cell r="J11">
            <v>18.84</v>
          </cell>
          <cell r="K11">
            <v>18.34</v>
          </cell>
          <cell r="Q11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2">
          <cell r="G12" t="str">
            <v xml:space="preserve"> HỆ SỐ ĐỒNG THỜI
DIVERSITY FACTOR (Ks)</v>
          </cell>
          <cell r="H12">
            <v>1</v>
          </cell>
        </row>
        <row r="13">
          <cell r="G13" t="str">
            <v>TỔNG CÔNG SUẤT TÍNH TOÁN
TOTAL CALCULATED POWER (kVA)</v>
          </cell>
          <cell r="H13">
            <v>56.13</v>
          </cell>
          <cell r="I13">
            <v>18.97</v>
          </cell>
          <cell r="J13">
            <v>18.84</v>
          </cell>
          <cell r="K13">
            <v>18.34</v>
          </cell>
        </row>
        <row r="14">
          <cell r="G14" t="str">
            <v>DÒNG ĐIỆN TÍNH TOÁN
TOTAL CALCULATED CURRENT (A)</v>
          </cell>
          <cell r="H14">
            <v>86.23</v>
          </cell>
        </row>
        <row r="15">
          <cell r="G15" t="str">
            <v>LỘ VÀO
INCOMMING</v>
          </cell>
          <cell r="M15" t="str">
            <v>THIẾT BỊ BẢO VỆ TỔNG
MAIN CIRCUIT BRAKER</v>
          </cell>
          <cell r="Q15" t="str">
            <v>CÁP ĐIỆN/ THANH DẪN TỔNG
INCOMMING CABLE/ BUSDUCT</v>
          </cell>
          <cell r="S15" t="str">
            <v>GIẢI PHÁP LẮP ĐẶT
INSTALLATION METHOD</v>
          </cell>
        </row>
        <row r="16">
          <cell r="G16" t="str">
            <v>FROM LV-MSB</v>
          </cell>
          <cell r="M16" t="str">
            <v>MCCB</v>
          </cell>
          <cell r="N16" t="str">
            <v>3P</v>
          </cell>
          <cell r="O16" t="str">
            <v>125A</v>
          </cell>
          <cell r="P16" t="str">
            <v>25kA</v>
          </cell>
          <cell r="Q16" t="str">
            <v>4x(1Cx50) Cu/Mica/XLPE/LSZH</v>
          </cell>
          <cell r="R16" t="str">
            <v>(1Cx25) Cu/PVC</v>
          </cell>
          <cell r="S16" t="str">
            <v>IN CABLE TRAY</v>
          </cell>
        </row>
        <row r="17">
          <cell r="Q17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8">
          <cell r="G18" t="str">
            <v>3P</v>
          </cell>
          <cell r="H18" t="str">
            <v>125A</v>
          </cell>
          <cell r="I18" t="str">
            <v>25kA</v>
          </cell>
          <cell r="J18" t="str">
            <v>4x(1Cx50) Cu/Mica/XLPE/LSZH</v>
          </cell>
          <cell r="K18" t="str">
            <v>(1Cx25) Cu/PVC</v>
          </cell>
        </row>
        <row r="19">
          <cell r="G19" t="str">
            <v>125A</v>
          </cell>
          <cell r="H19" t="str">
            <v>25kA</v>
          </cell>
          <cell r="I19" t="str">
            <v>125/5A</v>
          </cell>
          <cell r="J19" t="str">
            <v>0-125A</v>
          </cell>
        </row>
      </sheetData>
      <sheetData sheetId="25">
        <row r="1">
          <cell r="G1" t="str">
            <v>MCP-B1F-FAF.Z1</v>
          </cell>
          <cell r="H1" t="str">
            <v>Tên dự án:
Project name:</v>
          </cell>
          <cell r="J1" t="str">
            <v>DỰ ÁN: BÃI XE NGẦM</v>
          </cell>
          <cell r="P1" t="str">
            <v>Vị trí:
Local:</v>
          </cell>
          <cell r="Q1" t="str">
            <v>TỦ ĐIỆN CẤP NGUỒN QUẠT GIÓ TƯƠI B1F_KHOANG 1
POWER SUPPLY FOR THE FRESH AIR FAN B1F_ZONE 1</v>
          </cell>
        </row>
        <row r="2">
          <cell r="G2" t="str">
            <v>CÔNG NĂNG CẤP NGUỒN
LOAD DESCRIPTION</v>
          </cell>
          <cell r="H2" t="str">
            <v>CÔNG SUẤT TRÊN PHA
RATE POWER (kVA)</v>
          </cell>
          <cell r="M2" t="str">
            <v>CB BẢO VỆ
PROTECTION DEVICE</v>
          </cell>
          <cell r="Q2" t="str">
            <v>CHỦNG LOẠI VÀ KÍCH CỠ CÁP
TYPE AND SIZE OF CABLE</v>
          </cell>
          <cell r="S2" t="str">
            <v>GIẢI PHÁP LẮP ĐẶT
INSTALLATION METHOD</v>
          </cell>
        </row>
        <row r="3">
          <cell r="H3" t="str">
            <v>Full</v>
          </cell>
          <cell r="I3" t="str">
            <v>R</v>
          </cell>
          <cell r="J3" t="str">
            <v>Y</v>
          </cell>
          <cell r="K3" t="str">
            <v>B</v>
          </cell>
          <cell r="M3" t="str">
            <v>LOẠI
TYPE</v>
          </cell>
          <cell r="N3" t="str">
            <v>SỐ CỰC
POLE (P)</v>
          </cell>
          <cell r="O3" t="str">
            <v xml:space="preserve">DÒNG NGẮT CURRENT (In)
</v>
          </cell>
          <cell r="P3" t="str">
            <v>CS NM
ISC (kA)</v>
          </cell>
          <cell r="Q3" t="str">
            <v>DÂY PHA
PHASE (mm²)</v>
          </cell>
          <cell r="R3" t="str">
            <v>DÂY NỐI ĐẤT
EARTHING CONDUCTOR (E)
(mm²)</v>
          </cell>
        </row>
        <row r="4">
          <cell r="G4" t="str">
            <v>POWER SUPPLY FOR THE FRESH AIR FAN B1F_ZONE 1</v>
          </cell>
        </row>
        <row r="5">
          <cell r="H5">
            <v>1</v>
          </cell>
          <cell r="I5">
            <v>2</v>
          </cell>
          <cell r="J5">
            <v>3</v>
          </cell>
          <cell r="K5">
            <v>4</v>
          </cell>
          <cell r="M5">
            <v>6</v>
          </cell>
          <cell r="N5">
            <v>7</v>
          </cell>
          <cell r="O5">
            <v>8</v>
          </cell>
          <cell r="P5">
            <v>9</v>
          </cell>
          <cell r="Q5">
            <v>10</v>
          </cell>
          <cell r="R5">
            <v>11</v>
          </cell>
          <cell r="S5">
            <v>12</v>
          </cell>
        </row>
        <row r="6">
          <cell r="G6" t="str">
            <v>FRESH AIR FAN FOR BASEMENT 1_ZONE 1 (VSD)</v>
          </cell>
          <cell r="H6">
            <v>23.13</v>
          </cell>
          <cell r="I6">
            <v>7.71</v>
          </cell>
          <cell r="J6">
            <v>7.71</v>
          </cell>
          <cell r="K6">
            <v>7.71</v>
          </cell>
          <cell r="M6" t="str">
            <v>MCCB</v>
          </cell>
          <cell r="N6" t="str">
            <v>3P</v>
          </cell>
          <cell r="O6" t="str">
            <v>50A</v>
          </cell>
          <cell r="P6" t="str">
            <v>18kA</v>
          </cell>
          <cell r="Q6" t="str">
            <v>3x(1Cx10) Cu/Mica/XLPE/LSZH</v>
          </cell>
          <cell r="R6" t="str">
            <v>(1Cx10) Cu/PVC</v>
          </cell>
          <cell r="S6" t="str">
            <v>IN CABLE TRAY</v>
          </cell>
        </row>
        <row r="7">
          <cell r="G7" t="str">
            <v>FRESH AIR FAN FOR BASEMENT 1_ZONE 1 (VSD)</v>
          </cell>
          <cell r="H7">
            <v>23.13</v>
          </cell>
          <cell r="I7">
            <v>7.71</v>
          </cell>
          <cell r="J7">
            <v>7.71</v>
          </cell>
          <cell r="K7">
            <v>7.71</v>
          </cell>
          <cell r="M7" t="str">
            <v>MCCB</v>
          </cell>
          <cell r="N7" t="str">
            <v>3P</v>
          </cell>
          <cell r="O7" t="str">
            <v>50A</v>
          </cell>
          <cell r="P7" t="str">
            <v>18kA</v>
          </cell>
          <cell r="Q7" t="str">
            <v>3x(1Cx10) Cu/Mica/XLPE/LSZH</v>
          </cell>
          <cell r="R7" t="str">
            <v>(1Cx10) Cu/PVC</v>
          </cell>
          <cell r="S7" t="str">
            <v>IN CABLE TRAY</v>
          </cell>
        </row>
        <row r="8">
          <cell r="G8" t="str">
            <v>PRESSURIZATION AIR FAN(VSD)</v>
          </cell>
          <cell r="H8">
            <v>13.75</v>
          </cell>
          <cell r="I8">
            <v>4.58</v>
          </cell>
          <cell r="J8">
            <v>4.58</v>
          </cell>
          <cell r="K8">
            <v>4.58</v>
          </cell>
          <cell r="M8" t="str">
            <v>MCCB</v>
          </cell>
          <cell r="N8" t="str">
            <v>3P</v>
          </cell>
          <cell r="O8" t="str">
            <v>32A</v>
          </cell>
          <cell r="P8" t="str">
            <v>18kA</v>
          </cell>
          <cell r="Q8" t="str">
            <v>3x(1Cx6.0) Cu/Mica/XLPE/LSZH</v>
          </cell>
          <cell r="R8" t="str">
            <v>(1Cx6.0) Cu/PVC</v>
          </cell>
          <cell r="S8" t="str">
            <v>IN CABLE TRAY</v>
          </cell>
        </row>
        <row r="9">
          <cell r="G9" t="str">
            <v>POWER SUPPLY AIR VALVE</v>
          </cell>
          <cell r="H9">
            <v>0.63</v>
          </cell>
          <cell r="I9">
            <v>0.63</v>
          </cell>
          <cell r="M9" t="str">
            <v>MCB</v>
          </cell>
          <cell r="N9" t="str">
            <v>1P</v>
          </cell>
          <cell r="O9" t="str">
            <v>16A</v>
          </cell>
          <cell r="P9" t="str">
            <v>6kA</v>
          </cell>
          <cell r="Q9" t="str">
            <v>2x(1Cx2.5) Cu/Mica/XLPE/LSZH</v>
          </cell>
          <cell r="R9" t="str">
            <v>(1Cx2.5) Cu/PVC</v>
          </cell>
          <cell r="S9" t="str">
            <v>IN PVC CONDUIT D25</v>
          </cell>
        </row>
        <row r="10">
          <cell r="G10" t="str">
            <v>CONTROL</v>
          </cell>
          <cell r="H10">
            <v>0.5</v>
          </cell>
          <cell r="J10">
            <v>0.5</v>
          </cell>
          <cell r="M10" t="str">
            <v>MCB</v>
          </cell>
          <cell r="N10" t="str">
            <v>1P</v>
          </cell>
          <cell r="O10" t="str">
            <v>16A</v>
          </cell>
          <cell r="P10" t="str">
            <v>6kA</v>
          </cell>
        </row>
        <row r="12">
          <cell r="G12" t="str">
            <v>TỔNG CÔNG SUẤT ĐỊNH MỨC
TOTAL RATE POWER (kVA)</v>
          </cell>
          <cell r="H12">
            <v>61.14</v>
          </cell>
          <cell r="I12">
            <v>20.63</v>
          </cell>
          <cell r="J12">
            <v>20.5</v>
          </cell>
          <cell r="K12">
            <v>20</v>
          </cell>
          <cell r="Q12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3">
          <cell r="G13" t="str">
            <v xml:space="preserve"> HỆ SỐ ĐỒNG THỜI
DIVERSITY FACTOR (Ks)</v>
          </cell>
          <cell r="H13">
            <v>1</v>
          </cell>
        </row>
        <row r="14">
          <cell r="G14" t="str">
            <v>TỔNG CÔNG SUẤT TÍNH TOÁN
TOTAL CALCULATED POWER (kVA)</v>
          </cell>
          <cell r="H14">
            <v>61.14</v>
          </cell>
          <cell r="I14">
            <v>20.63</v>
          </cell>
          <cell r="J14">
            <v>20.5</v>
          </cell>
          <cell r="K14">
            <v>20</v>
          </cell>
        </row>
        <row r="15">
          <cell r="G15" t="str">
            <v>DÒNG ĐIỆN TÍNH TOÁN
TOTAL CALCULATED CURRENT (A)</v>
          </cell>
          <cell r="H15">
            <v>93.77</v>
          </cell>
        </row>
        <row r="16">
          <cell r="G16" t="str">
            <v>LỘ VÀO
INCOMMING</v>
          </cell>
          <cell r="M16" t="str">
            <v>THIẾT BỊ BẢO VỆ TỔNG
MAIN CIRCUIT BRAKER</v>
          </cell>
          <cell r="Q16" t="str">
            <v>CÁP ĐIỆN/ THANH DẪN TỔNG
INCOMMING CABLE/ BUSDUCT</v>
          </cell>
          <cell r="S16" t="str">
            <v>GIẢI PHÁP LẮP ĐẶT
INSTALLATION METHOD</v>
          </cell>
        </row>
        <row r="17">
          <cell r="G17" t="str">
            <v>FROM LV-MSB</v>
          </cell>
          <cell r="M17" t="str">
            <v>MCCB</v>
          </cell>
          <cell r="N17" t="str">
            <v>3P</v>
          </cell>
          <cell r="O17" t="str">
            <v>125A</v>
          </cell>
          <cell r="P17" t="str">
            <v>25kA</v>
          </cell>
          <cell r="Q17" t="str">
            <v>4x(1Cx50) Cu/Mica/XLPE/LSZH</v>
          </cell>
          <cell r="R17" t="str">
            <v>(1Cx25) Cu/PVC</v>
          </cell>
          <cell r="S17" t="str">
            <v>IN CABLE TRAY</v>
          </cell>
        </row>
        <row r="18">
          <cell r="Q18" t="str">
            <v>GHI CHÚ:
- NHÀ THẦU THI CÔNG PHẢI KIỂM TRA CÔNG SUẤT THỰC TẾ &amp; CHẾ ĐỘ HOẠT ĐỘNG CỦA THIẾT BỊ ĐƯỢC PHÊ DUYỆT TẠI CÔNG TRÌNH ĐỂ CHỌN THIẾT BỊ ĐÓNG CẮT, BẢO VỆ, ĐIỀU KHIỂN PHÙ HỢP.
- CHI TIẾT MẠCH ĐIỀU KHIỂN DO NHÀ THẦU TỦ ĐIỆN THỰC HIỆN.
- VỊ TRÍ THIẾT BỊ XEM BẢN VẼ HỆ ĐIỀU HOÀ KHÔNG KHÍ.</v>
          </cell>
        </row>
        <row r="19">
          <cell r="G19" t="str">
            <v>3P</v>
          </cell>
          <cell r="H19" t="str">
            <v>125A</v>
          </cell>
          <cell r="I19" t="str">
            <v>25kA</v>
          </cell>
          <cell r="J19" t="str">
            <v>4x(1Cx50) Cu/Mica/XLPE/LSZH</v>
          </cell>
          <cell r="K19" t="str">
            <v>(1Cx25) Cu/PVC</v>
          </cell>
        </row>
        <row r="20">
          <cell r="G20" t="str">
            <v>125A</v>
          </cell>
          <cell r="H20" t="str">
            <v>25kA</v>
          </cell>
          <cell r="I20" t="str">
            <v>125/5A</v>
          </cell>
          <cell r="J20" t="str">
            <v>0-125A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ngle line"/>
      <sheetName val="Sheet1"/>
    </sheetNames>
    <definedNames>
      <definedName name="KIEMTRACAP"/>
      <definedName name="KiemTraOng3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7767BD-571C-4229-87A5-902C84BDAC0B}" name="Table14" displayName="Table14" ref="E2:E34" totalsRowShown="0">
  <autoFilter ref="E2:E34" xr:uid="{00000000-0009-0000-0100-000001000000}">
    <filterColumn colId="0" hiddenButton="1"/>
  </autoFilter>
  <tableColumns count="1">
    <tableColumn id="1" xr3:uid="{77464DC2-F4E7-4A8E-B9CC-D3C74B637394}" name="CB_Rating" dataDxfId="62">
      <calculatedColumnFormula>'Spec. Cable'!$A3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A1159EF-D5AC-4474-9A58-A82781F06BEA}" name="Table145" displayName="Table145" ref="G2:G7" totalsRowShown="0">
  <autoFilter ref="G2:G7" xr:uid="{00000000-0009-0000-0100-000003000000}">
    <filterColumn colId="0" hiddenButton="1"/>
  </autoFilter>
  <tableColumns count="1">
    <tableColumn id="1" xr3:uid="{0FFADB97-1896-4946-800D-9B355059EBC1}" name="CB_Pole" dataDxfId="6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31D335-996C-45F2-B2DD-612AD4719262}" name="Table1456" displayName="Table1456" ref="I2:I12" totalsRowShown="0">
  <autoFilter ref="I2:I12" xr:uid="{00000000-0009-0000-0100-000004000000}">
    <filterColumn colId="0" hiddenButton="1"/>
  </autoFilter>
  <tableColumns count="1">
    <tableColumn id="1" xr3:uid="{356A3BF8-8333-4B42-8B82-6308ED432A0C}" name="CB_Isc" dataDxfId="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12DE72-DA43-411A-8E82-F08ED9579E9A}" name="Table146" displayName="Table146" ref="K2:K6" totalsRowShown="0" headerRowDxfId="59" dataDxfId="58">
  <autoFilter ref="K2:K6" xr:uid="{00000000-0009-0000-0100-000005000000}">
    <filterColumn colId="0" hiddenButton="1"/>
  </autoFilter>
  <tableColumns count="1">
    <tableColumn id="1" xr3:uid="{F5EB340E-9EAE-4C52-BD90-C3C3D8E30209}" name="CB_Type" dataDxfId="5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927F47-174E-4D9C-BDAE-D191AB2B5FC4}" name="Table147" displayName="Table147" ref="M2:M6" totalsRowShown="0" dataDxfId="56">
  <autoFilter ref="M2:M6" xr:uid="{00000000-0009-0000-0100-000006000000}">
    <filterColumn colId="0" hiddenButton="1"/>
  </autoFilter>
  <tableColumns count="1">
    <tableColumn id="1" xr3:uid="{EF984FF7-A4A8-4CD8-873C-23EB05B00375}" name="_OnPhase" dataDxfId="5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071B730-E1E8-4F4D-9983-B69267BAD82D}" name="Table7" displayName="Table7" ref="P2:U82" totalsRowShown="0">
  <autoFilter ref="P2:U82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41CB7D7-425C-4CB5-B2DF-C9AAEC343D27}" name="TIẾT DIỆN" dataDxfId="54"/>
    <tableColumn id="2" xr3:uid="{3D892B68-A4BF-4A8A-8A0D-346EA10C8261}" name="CU/PVC" dataDxfId="53"/>
    <tableColumn id="3" xr3:uid="{7108BF33-B408-4318-A54E-CF32DE620871}" name="CU/XLPE/PVC" dataDxfId="52"/>
    <tableColumn id="4" xr3:uid="{5449B58A-65E8-4450-9937-EEE67FDD1A2C}" name="Cu/Mica/XLPE/FR-PVC" dataDxfId="51"/>
    <tableColumn id="5" xr3:uid="{7A9A0449-176F-4BBF-9530-19091CC0D566}" name="Cu/Mica/XLPE/LSZH" dataDxfId="50"/>
    <tableColumn id="8" xr3:uid="{8D89D76F-C8F4-4D88-84E5-59F10150888B}" name="CU/PVC/PVC" dataDxfId="49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FF0F501-17FD-4BC0-9825-A477296B63CA}" name="Table8" displayName="Table8" ref="W2:X18" totalsRowShown="0">
  <autoFilter ref="W2:X18" xr:uid="{00000000-0009-0000-0100-000008000000}">
    <filterColumn colId="0" hiddenButton="1"/>
    <filterColumn colId="1" hiddenButton="1"/>
  </autoFilter>
  <tableColumns count="2">
    <tableColumn id="3" xr3:uid="{80814F3D-238B-4D88-8000-40073923ADDB}" name="TÊN" dataDxfId="48"/>
    <tableColumn id="1" xr3:uid="{48B1763A-9151-4BCF-89D6-A93FE1348A62}" name="Đường kính trong ống" dataDxfId="4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1441948-DC65-47E5-B291-47CCAE2FBC3B}" name="Table9" displayName="Table9" ref="AG3:AN12" headerRowCount="0" totalsRowShown="0" headerRowDxfId="46" dataDxfId="44" headerRowBorderDxfId="45" tableBorderDxfId="43" totalsRowBorderDxfId="42">
  <tableColumns count="8">
    <tableColumn id="1" xr3:uid="{873410F4-96E1-4703-9493-D9782D9F9E0B}" name="ỐNG LUỒN DÂY PVC" headerRowDxfId="41" dataDxfId="40"/>
    <tableColumn id="2" xr3:uid="{F0E226FD-A0D3-47BB-912B-17465DAAB882}" name="Column1" headerRowDxfId="39" dataDxfId="38"/>
    <tableColumn id="3" xr3:uid="{4E88A3CD-F148-4C82-82A5-4CA5F0066A9C}" name="Column2" headerRowDxfId="37" dataDxfId="36"/>
    <tableColumn id="4" xr3:uid="{25C78BC1-A798-407B-BC3C-8CB895576D8D}" name="Column3" headerRowDxfId="35" dataDxfId="34"/>
    <tableColumn id="5" xr3:uid="{F90B40D9-BFE8-4E8F-88E6-69933C332EDF}" name="ỐNG LUỒN DÂY HDPE" headerRowDxfId="33" dataDxfId="32"/>
    <tableColumn id="6" xr3:uid="{3B561A44-0261-4059-94E8-5ED4F8B1B685}" name="Column4" headerRowDxfId="31" dataDxfId="30"/>
    <tableColumn id="7" xr3:uid="{A671F195-6F7F-4280-A381-B89C28EFC8A8}" name="Column5" headerRowDxfId="29" dataDxfId="28"/>
    <tableColumn id="8" xr3:uid="{CFCE36F1-B134-4BCB-AD92-DA400073D531}" name="Column6" headerRowDxfId="27" dataDxfId="26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40BD08F-30CA-4F88-9DED-B6F45609E1D5}" name="Table15" displayName="Table15" ref="AQ3:AQ9" totalsRowShown="0" headerRowCellStyle="Normal 4" dataCellStyle="Normal 4">
  <autoFilter ref="AQ3:AQ9" xr:uid="{F40BD08F-30CA-4F88-9DED-B6F45609E1D5}">
    <filterColumn colId="0" hiddenButton="1"/>
  </autoFilter>
  <tableColumns count="1">
    <tableColumn id="1" xr3:uid="{07753310-E969-4BEA-AE5B-704CEC3BFC1B}" name="HasPanel" dataCellStyle="Normal 4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563801-53DF-43AE-ABE0-5B4DF1A6A7C2}" name="Table13" displayName="Table13" ref="AT3:AT11" totalsRowShown="0" headerRowDxfId="25" dataDxfId="24">
  <autoFilter ref="AT3:AT11" xr:uid="{6E563801-53DF-43AE-ABE0-5B4DF1A6A7C2}"/>
  <tableColumns count="1">
    <tableColumn id="1" xr3:uid="{B2C9671F-82F1-4139-9D8F-C4165C95B697}" name="No Arrow" dataDxfId="2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872735-98C2-424D-903D-0AE8E109AA2A}" name="Table164" displayName="Table164" ref="AV3:AV9" totalsRowShown="0" headerRowDxfId="22" dataDxfId="0" tableBorderDxfId="21">
  <autoFilter ref="AV3:AV9" xr:uid="{4C872735-98C2-424D-903D-0AE8E109AA2A}"/>
  <tableColumns count="1">
    <tableColumn id="1" xr3:uid="{A853598A-2A80-431B-82EE-75ACE62622FE}" name="Has Arrow" dataDxfId="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7433520-3EDE-464D-8CAB-468D9A0B0164}" name="Table17" displayName="Table17" ref="BA3:BA175" totalsRowShown="0" headerRowDxfId="20" dataDxfId="18" headerRowCellStyle="Normal 4" dataCellStyle="Normal 4">
  <autoFilter ref="BA3:BA175" xr:uid="{D7433520-3EDE-464D-8CAB-468D9A0B0164}"/>
  <sortState xmlns:xlrd2="http://schemas.microsoft.com/office/spreadsheetml/2017/richdata2" ref="BA4:BA23">
    <sortCondition ref="BA3:BA23"/>
  </sortState>
  <tableColumns count="1">
    <tableColumn id="1" xr3:uid="{3B2E92CA-6DB5-4C34-801C-AF5D280A63DF}" name="ListPanel" dataDxfId="19" dataCellStyle="Normal 4">
      <calculatedColumnFormula array="1">INDEX(TRANSPOSE(DanhSachSheet), ROW()-ROW(Table17[#Headers]))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1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A312BC-F832-44B7-8DBD-1AA6E5FDDBA1}">
  <we:reference id="wa200010725" version="1.0.0.1" store="en-GB" storeType="OMEX"/>
  <we:alternateReferences>
    <we:reference id="WA200010725" version="1.0.0.1" store="" storeType="OMEX"/>
  </we:alternateReferences>
  <we:properties>
    <we:property name="claude.fileId" value="&quot;30b3f73c-e32c-4d20-a373-72fbc9bd25e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81622-E7AE-4869-9ABA-A51B6FB110BF}">
  <sheetPr codeName="Sheet6">
    <pageSetUpPr fitToPage="1"/>
  </sheetPr>
  <dimension ref="A1:AQ36"/>
  <sheetViews>
    <sheetView showGridLines="0" topLeftCell="O1" zoomScale="70" zoomScaleNormal="70" zoomScaleSheetLayoutView="70" workbookViewId="0">
      <selection activeCell="Q9" sqref="Q9"/>
    </sheetView>
  </sheetViews>
  <sheetFormatPr defaultRowHeight="15" x14ac:dyDescent="0.25"/>
  <cols>
    <col min="1" max="1" width="12.7109375" hidden="1" customWidth="1"/>
    <col min="2" max="2" width="31.28515625" hidden="1" customWidth="1"/>
    <col min="3" max="3" width="20.5703125" hidden="1" customWidth="1"/>
    <col min="4" max="4" width="25.42578125" hidden="1" customWidth="1"/>
    <col min="5" max="5" width="23.42578125" style="164" customWidth="1"/>
    <col min="6" max="6" width="87.7109375" style="164" customWidth="1"/>
    <col min="7" max="7" width="53.85546875" style="164" hidden="1" customWidth="1"/>
    <col min="8" max="8" width="11.7109375" style="164" customWidth="1"/>
    <col min="9" max="9" width="9" style="164" customWidth="1"/>
    <col min="10" max="10" width="11.140625" style="164" customWidth="1"/>
    <col min="11" max="11" width="13.85546875" style="164" bestFit="1" customWidth="1"/>
    <col min="12" max="12" width="13.5703125" style="164" bestFit="1" customWidth="1"/>
    <col min="13" max="16" width="14.7109375" style="164" customWidth="1"/>
    <col min="17" max="17" width="37.85546875" style="164" customWidth="1"/>
    <col min="18" max="18" width="31.7109375" style="164" customWidth="1"/>
    <col min="19" max="19" width="30.7109375" style="164" customWidth="1"/>
    <col min="20" max="20" width="17.42578125" style="164" customWidth="1"/>
    <col min="21" max="21" width="17.5703125" style="164" customWidth="1"/>
    <col min="22" max="22" width="12.85546875" style="164" customWidth="1"/>
    <col min="23" max="23" width="17.28515625" style="164" bestFit="1" customWidth="1"/>
    <col min="24" max="24" width="14.42578125" style="164" customWidth="1"/>
    <col min="25" max="25" width="29.28515625" style="164" bestFit="1" customWidth="1"/>
    <col min="26" max="26" width="33.5703125" style="164" bestFit="1" customWidth="1"/>
    <col min="27" max="27" width="33.140625" style="164" bestFit="1" customWidth="1"/>
    <col min="28" max="28" width="23.5703125" style="164" bestFit="1" customWidth="1"/>
    <col min="29" max="29" width="36.85546875" style="164" bestFit="1" customWidth="1"/>
    <col min="30" max="31" width="9.140625" style="164"/>
    <col min="32" max="32" width="29.85546875" style="164" customWidth="1"/>
    <col min="33" max="33" width="52.140625" style="164" bestFit="1" customWidth="1"/>
    <col min="34" max="34" width="16.42578125" style="164" bestFit="1" customWidth="1"/>
    <col min="35" max="35" width="17.85546875" style="164" bestFit="1" customWidth="1"/>
    <col min="36" max="36" width="16.42578125" style="164" bestFit="1" customWidth="1"/>
    <col min="37" max="37" width="12" style="164" bestFit="1" customWidth="1"/>
    <col min="38" max="38" width="22.85546875" style="164" bestFit="1" customWidth="1"/>
    <col min="39" max="39" width="11.5703125" style="164" bestFit="1" customWidth="1"/>
    <col min="40" max="40" width="12.5703125" style="164" bestFit="1" customWidth="1"/>
    <col min="41" max="41" width="24.140625" style="164" customWidth="1"/>
    <col min="42" max="42" width="19.28515625" style="164" customWidth="1"/>
    <col min="43" max="16384" width="9.140625" style="164"/>
  </cols>
  <sheetData>
    <row r="1" spans="1:43" s="142" customFormat="1" ht="45.75" customHeight="1" thickBot="1" x14ac:dyDescent="0.3">
      <c r="A1" s="1" t="s">
        <v>143</v>
      </c>
      <c r="B1" s="1"/>
      <c r="C1" s="1"/>
      <c r="D1" s="82"/>
      <c r="E1" s="129" t="s">
        <v>195</v>
      </c>
      <c r="F1" s="88" t="str" cm="1">
        <f t="array" aca="1" ref="F1" ca="1">RIGHT(CELL("filename", A1), LEN(CELL("filename", A1)) - FIND("]", CELL("filename", A1)))</f>
        <v>LV-MSB1</v>
      </c>
      <c r="G1" s="89"/>
      <c r="H1" s="133"/>
      <c r="I1" s="134"/>
      <c r="J1" s="130"/>
      <c r="K1" s="131"/>
      <c r="L1" s="131"/>
      <c r="M1" s="131"/>
      <c r="N1" s="131"/>
      <c r="O1" s="131"/>
      <c r="P1" s="131"/>
      <c r="Q1" s="90"/>
      <c r="R1" s="90"/>
      <c r="S1" s="91"/>
      <c r="T1" s="186" t="s">
        <v>162</v>
      </c>
      <c r="U1" s="187" t="s">
        <v>163</v>
      </c>
      <c r="V1" s="187" t="s">
        <v>164</v>
      </c>
      <c r="W1" s="187" t="s">
        <v>165</v>
      </c>
      <c r="X1" s="187" t="s">
        <v>149</v>
      </c>
      <c r="Y1" s="187" t="s">
        <v>150</v>
      </c>
      <c r="Z1" s="187" t="s">
        <v>151</v>
      </c>
      <c r="AA1" s="187" t="s">
        <v>152</v>
      </c>
      <c r="AB1" s="187" t="s">
        <v>153</v>
      </c>
      <c r="AC1" s="187" t="s">
        <v>14</v>
      </c>
      <c r="AD1" s="187" t="s">
        <v>3</v>
      </c>
      <c r="AE1" s="187" t="s">
        <v>15</v>
      </c>
      <c r="AF1" s="187" t="s">
        <v>147</v>
      </c>
      <c r="AG1" s="187" t="s">
        <v>161</v>
      </c>
      <c r="AH1" s="195" t="s">
        <v>154</v>
      </c>
      <c r="AI1" s="195" t="s">
        <v>155</v>
      </c>
      <c r="AJ1" s="195" t="s">
        <v>156</v>
      </c>
      <c r="AK1" s="195" t="s">
        <v>157</v>
      </c>
      <c r="AL1" s="195" t="s">
        <v>158</v>
      </c>
      <c r="AM1" s="195" t="s">
        <v>159</v>
      </c>
      <c r="AN1" s="195" t="s">
        <v>160</v>
      </c>
      <c r="AO1" s="195" t="s">
        <v>170</v>
      </c>
      <c r="AP1" s="196" t="s">
        <v>166</v>
      </c>
    </row>
    <row r="2" spans="1:43" s="142" customFormat="1" ht="39" customHeight="1" thickTop="1" x14ac:dyDescent="0.25">
      <c r="A2" s="84" t="s">
        <v>0</v>
      </c>
      <c r="B2" s="85" t="s">
        <v>1</v>
      </c>
      <c r="C2" s="86"/>
      <c r="D2" s="82"/>
      <c r="E2" s="138" t="s">
        <v>194</v>
      </c>
      <c r="F2" s="141" t="s">
        <v>210</v>
      </c>
      <c r="G2" s="92"/>
      <c r="H2" s="132"/>
      <c r="I2" s="135"/>
      <c r="J2" s="136"/>
      <c r="K2" s="136"/>
      <c r="L2" s="136"/>
      <c r="M2" s="136"/>
      <c r="N2" s="136"/>
      <c r="O2" s="136"/>
      <c r="P2" s="136"/>
      <c r="Q2" s="127"/>
      <c r="R2" s="127"/>
      <c r="S2" s="93"/>
      <c r="T2" s="197" t="s">
        <v>214</v>
      </c>
      <c r="U2" s="188" t="str">
        <f>M35</f>
        <v>MCCB</v>
      </c>
      <c r="V2" s="188" t="str">
        <f t="shared" ref="V2" si="0">N35</f>
        <v>3P</v>
      </c>
      <c r="W2" s="188" t="str">
        <f>UPPER(O35)</f>
        <v>32</v>
      </c>
      <c r="X2" s="188" t="str">
        <f t="shared" ref="X2" si="1">P35</f>
        <v>36kA</v>
      </c>
      <c r="Y2" s="188" t="str">
        <f>Q35</f>
        <v>4x(1Cx300) Cu/XLPE/PVC</v>
      </c>
      <c r="Z2" s="188" t="str">
        <f>R35</f>
        <v>(1Cx300) Cu/PVC</v>
      </c>
      <c r="AA2" s="188" t="str">
        <f>S35</f>
        <v>IN CABLE TRAY</v>
      </c>
      <c r="AB2" s="188">
        <f t="shared" ref="AB2:AB3" si="2">H31</f>
        <v>0.8</v>
      </c>
      <c r="AC2" s="188">
        <f t="shared" ref="AC2" si="3">I30</f>
        <v>2</v>
      </c>
      <c r="AD2" s="188">
        <f t="shared" ref="AD2" si="4">J30</f>
        <v>3</v>
      </c>
      <c r="AE2" s="188">
        <f t="shared" ref="AE2" si="5">K30</f>
        <v>4</v>
      </c>
      <c r="AF2" s="188">
        <f>H32</f>
        <v>0.8</v>
      </c>
      <c r="AG2" s="188" t="str">
        <f>M30</f>
        <v>GHI CHÚ: 
- Chạy thử nghiệm ver1</v>
      </c>
      <c r="AH2" s="189">
        <f>ROW(C35)</f>
        <v>35</v>
      </c>
      <c r="AI2" s="189" cm="1">
        <f t="array" ref="AI2">ROW(29:29)</f>
        <v>29</v>
      </c>
      <c r="AJ2" s="188" t="s">
        <v>172</v>
      </c>
      <c r="AK2" s="188" t="s">
        <v>171</v>
      </c>
      <c r="AL2" s="188" t="s">
        <v>174</v>
      </c>
      <c r="AM2" s="188" t="s">
        <v>5</v>
      </c>
      <c r="AN2" s="188" t="s">
        <v>148</v>
      </c>
      <c r="AO2" s="189">
        <v>3</v>
      </c>
      <c r="AP2" s="190" t="s">
        <v>167</v>
      </c>
    </row>
    <row r="3" spans="1:43" s="143" customFormat="1" ht="45" customHeight="1" thickBot="1" x14ac:dyDescent="0.3">
      <c r="A3" s="84"/>
      <c r="B3" s="2" t="s">
        <v>2</v>
      </c>
      <c r="C3" s="81" t="s">
        <v>3</v>
      </c>
      <c r="D3" s="83" t="s">
        <v>11</v>
      </c>
      <c r="E3" s="138" t="s">
        <v>211</v>
      </c>
      <c r="F3" s="139" t="s">
        <v>208</v>
      </c>
      <c r="G3" s="140"/>
      <c r="H3" s="140"/>
      <c r="I3" s="140"/>
      <c r="J3" s="140"/>
      <c r="K3" s="140"/>
      <c r="L3" s="137"/>
      <c r="M3" s="137"/>
      <c r="N3" s="137"/>
      <c r="O3" s="137"/>
      <c r="P3" s="137"/>
      <c r="Q3" s="94"/>
      <c r="R3" s="94"/>
      <c r="S3" s="95"/>
      <c r="T3" s="198" t="s">
        <v>146</v>
      </c>
      <c r="U3" s="191"/>
      <c r="V3" s="191"/>
      <c r="W3" s="191" t="str">
        <f>SUBSTITUTE(W2,"A","")&amp;"/5A"</f>
        <v>32/5A</v>
      </c>
      <c r="X3" s="191"/>
      <c r="Y3" s="191"/>
      <c r="Z3" s="191"/>
      <c r="AA3" s="191"/>
      <c r="AB3" s="192">
        <f t="shared" si="2"/>
        <v>0.8</v>
      </c>
      <c r="AC3" s="192">
        <f t="shared" ref="AC3" si="6">I32</f>
        <v>1.6</v>
      </c>
      <c r="AD3" s="192">
        <f t="shared" ref="AD3" si="7">J32</f>
        <v>2.4000000000000004</v>
      </c>
      <c r="AE3" s="192">
        <f t="shared" ref="AE3" si="8">K32</f>
        <v>3.2</v>
      </c>
      <c r="AF3" s="193">
        <f>H33</f>
        <v>14.55</v>
      </c>
      <c r="AG3" s="193"/>
      <c r="AH3" s="193"/>
      <c r="AI3" s="192"/>
      <c r="AJ3" s="193"/>
      <c r="AK3" s="193"/>
      <c r="AL3" s="193"/>
      <c r="AM3" s="193"/>
      <c r="AN3" s="193"/>
      <c r="AO3" s="193" t="str" cm="1">
        <f t="array" ref="AO3">IF(SUMPRODUCT(COUNTIF(D6:D10, HasArrow)) &gt; 0, "Yes", "NO")</f>
        <v>Yes</v>
      </c>
      <c r="AP3" s="194" t="s">
        <v>168</v>
      </c>
      <c r="AQ3" s="142"/>
    </row>
    <row r="4" spans="1:43" s="143" customFormat="1" ht="54.75" customHeight="1" x14ac:dyDescent="0.25">
      <c r="A4" s="3"/>
      <c r="B4" s="14" t="e">
        <f>VLOOKUP($A$1,#REF!,2,0)</f>
        <v>#REF!</v>
      </c>
      <c r="C4" s="3" t="e">
        <f>VLOOKUP(A1,#REF!,3,0)</f>
        <v>#REF!</v>
      </c>
      <c r="D4" s="74">
        <f>J1</f>
        <v>0</v>
      </c>
      <c r="E4" s="165" t="s">
        <v>207</v>
      </c>
      <c r="F4" s="165" t="s">
        <v>201</v>
      </c>
      <c r="G4" s="166"/>
      <c r="H4" s="167" t="s">
        <v>12</v>
      </c>
      <c r="I4" s="168"/>
      <c r="J4" s="168"/>
      <c r="K4" s="169"/>
      <c r="L4" s="170" t="s">
        <v>197</v>
      </c>
      <c r="M4" s="171" t="s">
        <v>198</v>
      </c>
      <c r="N4" s="172"/>
      <c r="O4" s="172"/>
      <c r="P4" s="172"/>
      <c r="Q4" s="173" t="s">
        <v>199</v>
      </c>
      <c r="R4" s="174"/>
      <c r="S4" s="174" t="s">
        <v>200</v>
      </c>
      <c r="T4" s="199" t="s">
        <v>216</v>
      </c>
      <c r="U4" s="145"/>
      <c r="V4" s="145"/>
    </row>
    <row r="5" spans="1:43" s="143" customFormat="1" ht="57.75" customHeight="1" x14ac:dyDescent="0.25">
      <c r="A5" s="4"/>
      <c r="B5" s="4" t="e">
        <f>IF(D6="","",B4)</f>
        <v>#REF!</v>
      </c>
      <c r="C5" s="4" t="e">
        <f>IF(D6="","",C4)</f>
        <v>#REF!</v>
      </c>
      <c r="D5" s="75" t="s">
        <v>145</v>
      </c>
      <c r="E5" s="175"/>
      <c r="F5" s="175"/>
      <c r="G5" s="176"/>
      <c r="H5" s="177" t="s">
        <v>13</v>
      </c>
      <c r="I5" s="177" t="s">
        <v>14</v>
      </c>
      <c r="J5" s="177" t="s">
        <v>3</v>
      </c>
      <c r="K5" s="177" t="s">
        <v>15</v>
      </c>
      <c r="L5" s="178"/>
      <c r="M5" s="179" t="s">
        <v>16</v>
      </c>
      <c r="N5" s="179" t="s">
        <v>17</v>
      </c>
      <c r="O5" s="180" t="s">
        <v>196</v>
      </c>
      <c r="P5" s="179" t="s">
        <v>18</v>
      </c>
      <c r="Q5" s="181" t="s">
        <v>19</v>
      </c>
      <c r="R5" s="179" t="s">
        <v>212</v>
      </c>
      <c r="S5" s="174"/>
      <c r="T5" s="200"/>
      <c r="U5" s="146" t="s">
        <v>4</v>
      </c>
      <c r="V5" s="147"/>
    </row>
    <row r="6" spans="1:43" s="143" customFormat="1" ht="36.950000000000003" customHeight="1" x14ac:dyDescent="0.25">
      <c r="A6" s="5"/>
      <c r="B6" s="6" t="e">
        <f t="shared" ref="B6" si="9">IF(D6="","",$B$5)</f>
        <v>#REF!</v>
      </c>
      <c r="C6" s="6" t="e">
        <f>IF(D6="","",INDEX($C$5:$C$165,1)-(ROW()-6)*1000)</f>
        <v>#REF!</v>
      </c>
      <c r="D6" s="13" t="s">
        <v>5</v>
      </c>
      <c r="E6" s="96" t="s">
        <v>144</v>
      </c>
      <c r="F6" s="97" t="s">
        <v>189</v>
      </c>
      <c r="G6" s="98"/>
      <c r="H6" s="99">
        <v>1</v>
      </c>
      <c r="I6" s="99">
        <v>2</v>
      </c>
      <c r="J6" s="99">
        <v>3</v>
      </c>
      <c r="K6" s="99">
        <v>4</v>
      </c>
      <c r="L6" s="99">
        <v>5</v>
      </c>
      <c r="M6" s="100" t="s">
        <v>20</v>
      </c>
      <c r="N6" s="101" t="e">
        <f>#REF!</f>
        <v>#REF!</v>
      </c>
      <c r="O6" s="101" t="e">
        <f>#REF!</f>
        <v>#REF!</v>
      </c>
      <c r="P6" s="102"/>
      <c r="Q6" s="103" t="s">
        <v>209</v>
      </c>
      <c r="R6" s="101" t="s">
        <v>31</v>
      </c>
      <c r="S6" s="99" t="s">
        <v>32</v>
      </c>
      <c r="T6" s="201" t="s">
        <v>7</v>
      </c>
      <c r="U6" s="148"/>
      <c r="V6" s="147"/>
    </row>
    <row r="7" spans="1:43" s="143" customFormat="1" ht="36.950000000000003" customHeight="1" x14ac:dyDescent="0.25">
      <c r="A7" s="5"/>
      <c r="B7" s="6" t="e">
        <f t="shared" ref="B7" si="10">IF(D7="","",$B$5)</f>
        <v>#REF!</v>
      </c>
      <c r="C7" s="6" t="e">
        <f>IF(D7="","",INDEX($C$5:$C$165,1)-(ROW()-6)*1000)</f>
        <v>#REF!</v>
      </c>
      <c r="D7" s="13" t="s">
        <v>8</v>
      </c>
      <c r="E7" s="104" t="s">
        <v>175</v>
      </c>
      <c r="F7" s="97" t="s">
        <v>190</v>
      </c>
      <c r="G7" s="98"/>
      <c r="H7" s="99">
        <v>1</v>
      </c>
      <c r="I7" s="99">
        <v>2</v>
      </c>
      <c r="J7" s="99">
        <v>3</v>
      </c>
      <c r="K7" s="99">
        <v>4</v>
      </c>
      <c r="L7" s="99">
        <v>5</v>
      </c>
      <c r="M7" s="100" t="s">
        <v>20</v>
      </c>
      <c r="N7" s="101" t="e">
        <f>#REF!</f>
        <v>#REF!</v>
      </c>
      <c r="O7" s="101" t="e">
        <f>#REF!</f>
        <v>#REF!</v>
      </c>
      <c r="P7" s="102"/>
      <c r="Q7" s="103" t="s">
        <v>30</v>
      </c>
      <c r="R7" s="101" t="s">
        <v>31</v>
      </c>
      <c r="S7" s="99" t="s">
        <v>32</v>
      </c>
      <c r="T7" s="201" t="s">
        <v>5</v>
      </c>
      <c r="U7" s="148"/>
      <c r="V7" s="147"/>
    </row>
    <row r="8" spans="1:43" s="143" customFormat="1" ht="36.950000000000003" customHeight="1" x14ac:dyDescent="0.25">
      <c r="A8" s="5"/>
      <c r="B8" s="6" t="e">
        <f t="shared" ref="B8:B9" si="11">IF(D8="","",$B$5)</f>
        <v>#REF!</v>
      </c>
      <c r="C8" s="6" t="e">
        <f>IF(D8="","",INDEX($C$5:$C$165,1)-(ROW()-6)*1000)</f>
        <v>#REF!</v>
      </c>
      <c r="D8" s="13" t="s">
        <v>173</v>
      </c>
      <c r="E8" s="104" t="s">
        <v>182</v>
      </c>
      <c r="F8" s="97" t="s">
        <v>191</v>
      </c>
      <c r="G8" s="98"/>
      <c r="H8" s="99">
        <v>1</v>
      </c>
      <c r="I8" s="99">
        <v>2</v>
      </c>
      <c r="J8" s="99">
        <v>3</v>
      </c>
      <c r="K8" s="99">
        <v>4</v>
      </c>
      <c r="L8" s="99">
        <v>5</v>
      </c>
      <c r="M8" s="100" t="s">
        <v>20</v>
      </c>
      <c r="N8" s="101" t="e">
        <f>#REF!</f>
        <v>#REF!</v>
      </c>
      <c r="O8" s="101" t="e">
        <f>#REF!</f>
        <v>#REF!</v>
      </c>
      <c r="P8" s="102"/>
      <c r="Q8" s="103" t="s">
        <v>30</v>
      </c>
      <c r="R8" s="101" t="s">
        <v>31</v>
      </c>
      <c r="S8" s="99" t="s">
        <v>32</v>
      </c>
      <c r="T8" s="201" t="s">
        <v>173</v>
      </c>
      <c r="U8" s="148"/>
      <c r="V8" s="147"/>
    </row>
    <row r="9" spans="1:43" s="143" customFormat="1" ht="36.950000000000003" customHeight="1" x14ac:dyDescent="0.25">
      <c r="A9" s="5"/>
      <c r="B9" s="6" t="e">
        <f t="shared" si="11"/>
        <v>#REF!</v>
      </c>
      <c r="C9" s="6" t="e">
        <f>IF(D9="","",INDEX($C$5:$C$165,1)-(ROW()-6)*1000)</f>
        <v>#REF!</v>
      </c>
      <c r="D9" s="13" t="s">
        <v>173</v>
      </c>
      <c r="E9" s="104" t="s">
        <v>183</v>
      </c>
      <c r="F9" s="97" t="s">
        <v>192</v>
      </c>
      <c r="G9" s="98"/>
      <c r="H9" s="99">
        <v>1</v>
      </c>
      <c r="I9" s="99">
        <v>2</v>
      </c>
      <c r="J9" s="99">
        <v>3</v>
      </c>
      <c r="K9" s="99">
        <v>4</v>
      </c>
      <c r="L9" s="99">
        <v>5</v>
      </c>
      <c r="M9" s="100" t="s">
        <v>20</v>
      </c>
      <c r="N9" s="101" t="e">
        <f>#REF!</f>
        <v>#REF!</v>
      </c>
      <c r="O9" s="101" t="e">
        <f>#REF!</f>
        <v>#REF!</v>
      </c>
      <c r="P9" s="102"/>
      <c r="Q9" s="103" t="s">
        <v>30</v>
      </c>
      <c r="R9" s="101" t="s">
        <v>31</v>
      </c>
      <c r="S9" s="99" t="s">
        <v>32</v>
      </c>
      <c r="T9" s="201" t="s">
        <v>173</v>
      </c>
      <c r="U9" s="148"/>
      <c r="V9" s="147"/>
    </row>
    <row r="10" spans="1:43" s="143" customFormat="1" ht="36.950000000000003" customHeight="1" x14ac:dyDescent="0.25">
      <c r="A10" s="5"/>
      <c r="B10" s="6" t="e">
        <f t="shared" ref="B10" si="12">IF(D10="","",$B$5)</f>
        <v>#REF!</v>
      </c>
      <c r="C10" s="6" t="e">
        <f>IF(D10="","",INDEX($C$5:$C$165,1)-(ROW()-6)*1000)</f>
        <v>#REF!</v>
      </c>
      <c r="D10" s="13" t="s">
        <v>7</v>
      </c>
      <c r="E10" s="104" t="s">
        <v>184</v>
      </c>
      <c r="F10" s="97" t="s">
        <v>193</v>
      </c>
      <c r="G10" s="98"/>
      <c r="H10" s="99">
        <v>1</v>
      </c>
      <c r="I10" s="99">
        <v>2</v>
      </c>
      <c r="J10" s="99">
        <v>3</v>
      </c>
      <c r="K10" s="99">
        <v>4</v>
      </c>
      <c r="L10" s="99">
        <v>5</v>
      </c>
      <c r="M10" s="100" t="s">
        <v>20</v>
      </c>
      <c r="N10" s="101" t="e">
        <f>#REF!</f>
        <v>#REF!</v>
      </c>
      <c r="O10" s="101" t="e">
        <f>#REF!</f>
        <v>#REF!</v>
      </c>
      <c r="P10" s="102"/>
      <c r="Q10" s="103" t="s">
        <v>30</v>
      </c>
      <c r="R10" s="101" t="s">
        <v>31</v>
      </c>
      <c r="S10" s="99" t="s">
        <v>32</v>
      </c>
      <c r="T10" s="201" t="s">
        <v>7</v>
      </c>
      <c r="U10" s="148"/>
      <c r="V10" s="147"/>
    </row>
    <row r="11" spans="1:43" s="143" customFormat="1" ht="36.950000000000003" customHeight="1" x14ac:dyDescent="0.25">
      <c r="A11" s="5"/>
      <c r="B11" s="6"/>
      <c r="C11" s="6"/>
      <c r="D11" s="13"/>
      <c r="E11" s="104" t="s">
        <v>219</v>
      </c>
      <c r="F11" s="97" t="s">
        <v>217</v>
      </c>
      <c r="G11" s="98" t="s">
        <v>218</v>
      </c>
      <c r="H11" s="99">
        <f>INDEX('[1]MCP-B2F-FAF.Z2'!H:H,MATCH("TỔNG CÔNG SUẤT TÍNH TOÁN*",'[1]MCP-B2F-FAF.Z2'!$G:$G,0))</f>
        <v>43.63</v>
      </c>
      <c r="I11" s="99">
        <f>INDEX('[1]MCP-B2F-FAF.Z2'!I:I,MATCH("TỔNG CÔNG SUẤT TÍNH TOÁN*",'[1]MCP-B2F-FAF.Z2'!$G:$G,0))</f>
        <v>14.99</v>
      </c>
      <c r="J11" s="99">
        <f>INDEX('[1]MCP-B2F-FAF.Z2'!J:J,MATCH("TỔNG CÔNG SUẤT TÍNH TOÁN*",'[1]MCP-B2F-FAF.Z2'!$G:$G,0))</f>
        <v>14.37</v>
      </c>
      <c r="K11" s="99">
        <f>INDEX('[1]MCP-B2F-FAF.Z2'!K:K,MATCH("TỔNG CÔNG SUẤT TÍNH TOÁN*",'[1]MCP-B2F-FAF.Z2'!$G:$G,0))</f>
        <v>14.24</v>
      </c>
      <c r="L11" s="99">
        <f>ROUND((MAX(I11,J11,K11)/0.22),2)</f>
        <v>68.14</v>
      </c>
      <c r="M11" s="100" t="str">
        <f>INDEX('[1]MCP-B2F-FAF.Z2'!M:M,MATCH("FROM LV-MSB*",'[1]MCP-B2F-FAF.Z2'!$G:$G,0))</f>
        <v>MCCB</v>
      </c>
      <c r="N11" s="101" t="str">
        <f>INDEX('[1]MCP-B2F-FAF.Z2'!N:N,MATCH("FROM LV-MSB*",'[1]MCP-B2F-FAF.Z2'!$G:$G,0))</f>
        <v>3P</v>
      </c>
      <c r="O11" s="101" t="str">
        <f>INDEX('[1]MCP-B2F-FAF.Z2'!O:O,MATCH("FROM LV-MSB*",'[1]MCP-B2F-FAF.Z2'!$G:$G,0))</f>
        <v>100A</v>
      </c>
      <c r="P11" s="102" t="str">
        <f>INDEX('[1]MCP-B2F-FAF.Z2'!P:P,MATCH("FROM LV-MSB*",'[1]MCP-B2F-FAF.Z2'!$G:$G,0))</f>
        <v>25kA</v>
      </c>
      <c r="Q11" s="103" t="str">
        <f>INDEX('[1]MCP-B2F-FAF.Z2'!Q:Q,MATCH("FROM LV-MSB*",'[1]MCP-B2F-FAF.Z2'!$G:$G,0))</f>
        <v>4x(1Cx35) Cu/Mica/XLPE/LSZH</v>
      </c>
      <c r="R11" s="101" t="str">
        <f>INDEX('[1]MCP-B2F-FAF.Z2'!R:R,MATCH("FROM LV-MSB*",'[1]MCP-B2F-FAF.Z2'!$G:$G,0))</f>
        <v>(1Cx16) Cu/PVC</v>
      </c>
      <c r="S11" s="99" t="str">
        <f>INDEX('[1]MCP-B2F-FAF.Z2'!S:S,MATCH("FROM LV-MSB*",'[1]MCP-B2F-FAF.Z2'!$G:$G,0))</f>
        <v>IN CABLE TRAY</v>
      </c>
      <c r="T11" s="201" t="s">
        <v>6</v>
      </c>
      <c r="U11" s="148"/>
      <c r="V11" s="147"/>
    </row>
    <row r="12" spans="1:43" s="143" customFormat="1" ht="36.950000000000003" customHeight="1" x14ac:dyDescent="0.25">
      <c r="A12" s="5"/>
      <c r="B12" s="6"/>
      <c r="C12" s="6"/>
      <c r="D12" s="13"/>
      <c r="E12" s="104" t="s">
        <v>220</v>
      </c>
      <c r="F12" s="97" t="s">
        <v>221</v>
      </c>
      <c r="G12" s="98" t="s">
        <v>222</v>
      </c>
      <c r="H12" s="99">
        <f>INDEX('[1]MCP-B2F-FAF.Z3'!H:H,MATCH("TỔNG CÔNG SUẤT TÍNH TOÁN*",'[1]MCP-B2F-FAF.Z3'!$G:$G,0))</f>
        <v>31.13</v>
      </c>
      <c r="I12" s="99">
        <f>INDEX('[1]MCP-B2F-FAF.Z3'!I:I,MATCH("TỔNG CÔNG SUẤT TÍNH TOÁN*",'[1]MCP-B2F-FAF.Z3'!$G:$G,0))</f>
        <v>10.41</v>
      </c>
      <c r="J12" s="99">
        <f>INDEX('[1]MCP-B2F-FAF.Z3'!J:J,MATCH("TỔNG CÔNG SUẤT TÍNH TOÁN*",'[1]MCP-B2F-FAF.Z3'!$G:$G,0))</f>
        <v>10.91</v>
      </c>
      <c r="K12" s="99">
        <f>INDEX('[1]MCP-B2F-FAF.Z3'!K:K,MATCH("TỔNG CÔNG SUẤT TÍNH TOÁN*",'[1]MCP-B2F-FAF.Z3'!$G:$G,0))</f>
        <v>9.7899999999999991</v>
      </c>
      <c r="L12" s="99">
        <f>ROUND((MAX(I12,J12,K12)/0.22),2)</f>
        <v>49.59</v>
      </c>
      <c r="M12" s="100" t="str">
        <f>INDEX('[1]MCP-B2F-FAF.Z3'!M:M,MATCH("FROM LV-MSB*",'[1]MCP-B2F-FAF.Z3'!$G:$G,0))</f>
        <v>MCCB</v>
      </c>
      <c r="N12" s="101" t="str">
        <f>INDEX('[1]MCP-B2F-FAF.Z3'!N:N,MATCH("FROM LV-MSB*",'[1]MCP-B2F-FAF.Z3'!$G:$G,0))</f>
        <v>3P</v>
      </c>
      <c r="O12" s="101" t="str">
        <f>INDEX('[1]MCP-B2F-FAF.Z3'!O:O,MATCH("FROM LV-MSB*",'[1]MCP-B2F-FAF.Z3'!$G:$G,0))</f>
        <v>80A</v>
      </c>
      <c r="P12" s="102" t="str">
        <f>INDEX('[1]MCP-B2F-FAF.Z3'!P:P,MATCH("FROM LV-MSB*",'[1]MCP-B2F-FAF.Z3'!$G:$G,0))</f>
        <v>25kA</v>
      </c>
      <c r="Q12" s="103" t="str">
        <f>INDEX('[1]MCP-B2F-FAF.Z3'!Q:Q,MATCH("FROM LV-MSB*",'[1]MCP-B2F-FAF.Z3'!$G:$G,0))</f>
        <v>4x(1Cx25) Cu/Mica/XLPE/LSZH</v>
      </c>
      <c r="R12" s="101" t="str">
        <f>INDEX('[1]MCP-B2F-FAF.Z3'!R:R,MATCH("FROM LV-MSB*",'[1]MCP-B2F-FAF.Z3'!$G:$G,0))</f>
        <v>(1Cx16) Cu/PVC</v>
      </c>
      <c r="S12" s="99" t="str">
        <f>INDEX('[1]MCP-B2F-FAF.Z3'!S:S,MATCH("FROM LV-MSB*",'[1]MCP-B2F-FAF.Z3'!$G:$G,0))</f>
        <v>IN CABLE TRAY</v>
      </c>
      <c r="T12" s="201" t="s">
        <v>6</v>
      </c>
      <c r="U12" s="148"/>
      <c r="V12" s="147"/>
    </row>
    <row r="13" spans="1:43" s="143" customFormat="1" ht="36.950000000000003" customHeight="1" x14ac:dyDescent="0.25">
      <c r="A13" s="5"/>
      <c r="B13" s="6"/>
      <c r="C13" s="6"/>
      <c r="D13" s="13"/>
      <c r="E13" s="104" t="s">
        <v>223</v>
      </c>
      <c r="F13" s="97" t="s">
        <v>224</v>
      </c>
      <c r="G13" s="98" t="s">
        <v>225</v>
      </c>
      <c r="H13" s="99">
        <f>INDEX('[1]MCP-B2F-FAF.Z4'!H:H,MATCH("TỔNG CÔNG SUẤT TÍNH TOÁN*",'[1]MCP-B2F-FAF.Z4'!$G:$G,0))</f>
        <v>29.88</v>
      </c>
      <c r="I13" s="99">
        <f>INDEX('[1]MCP-B2F-FAF.Z4'!I:I,MATCH("TỔNG CÔNG SUẤT TÍNH TOÁN*",'[1]MCP-B2F-FAF.Z4'!$G:$G,0))</f>
        <v>10.41</v>
      </c>
      <c r="J13" s="99">
        <f>INDEX('[1]MCP-B2F-FAF.Z4'!J:J,MATCH("TỔNG CÔNG SUẤT TÍNH TOÁN*",'[1]MCP-B2F-FAF.Z4'!$G:$G,0))</f>
        <v>9.7899999999999991</v>
      </c>
      <c r="K13" s="99">
        <f>INDEX('[1]MCP-B2F-FAF.Z4'!K:K,MATCH("TỔNG CÔNG SUẤT TÍNH TOÁN*",'[1]MCP-B2F-FAF.Z4'!$G:$G,0))</f>
        <v>9.66</v>
      </c>
      <c r="L13" s="99">
        <f>ROUND((MAX(I13,J13,K13)/0.22),2)</f>
        <v>47.32</v>
      </c>
      <c r="M13" s="100" t="str">
        <f>INDEX('[1]MCP-B2F-FAF.Z4'!M:M,MATCH("FROM LV-MSB*",'[1]MCP-B2F-FAF.Z4'!$G:$G,0))</f>
        <v>MCCB</v>
      </c>
      <c r="N13" s="101" t="str">
        <f>INDEX('[1]MCP-B2F-FAF.Z4'!N:N,MATCH("FROM LV-MSB*",'[1]MCP-B2F-FAF.Z4'!$G:$G,0))</f>
        <v>3P</v>
      </c>
      <c r="O13" s="101" t="str">
        <f>INDEX('[1]MCP-B2F-FAF.Z4'!O:O,MATCH("FROM LV-MSB*",'[1]MCP-B2F-FAF.Z4'!$G:$G,0))</f>
        <v>63A</v>
      </c>
      <c r="P13" s="102" t="str">
        <f>INDEX('[1]MCP-B2F-FAF.Z4'!P:P,MATCH("FROM LV-MSB*",'[1]MCP-B2F-FAF.Z4'!$G:$G,0))</f>
        <v>25kA</v>
      </c>
      <c r="Q13" s="103" t="str">
        <f>INDEX('[1]MCP-B2F-FAF.Z4'!Q:Q,MATCH("FROM LV-MSB*",'[1]MCP-B2F-FAF.Z4'!$G:$G,0))</f>
        <v>4x(1Cx16) Cu/Mica/XLPE/LSZH</v>
      </c>
      <c r="R13" s="101" t="str">
        <f>INDEX('[1]MCP-B2F-FAF.Z4'!R:R,MATCH("FROM LV-MSB*",'[1]MCP-B2F-FAF.Z4'!$G:$G,0))</f>
        <v>(1Cx16) Cu/PVC</v>
      </c>
      <c r="S13" s="99" t="str">
        <f>INDEX('[1]MCP-B2F-FAF.Z4'!S:S,MATCH("FROM LV-MSB*",'[1]MCP-B2F-FAF.Z4'!$G:$G,0))</f>
        <v>IN CABLE TRAY</v>
      </c>
      <c r="T13" s="201" t="s">
        <v>6</v>
      </c>
      <c r="U13" s="148"/>
      <c r="V13" s="147"/>
    </row>
    <row r="14" spans="1:43" s="143" customFormat="1" ht="36.950000000000003" customHeight="1" x14ac:dyDescent="0.25">
      <c r="A14" s="5"/>
      <c r="B14" s="6"/>
      <c r="C14" s="6"/>
      <c r="D14" s="13"/>
      <c r="E14" s="104" t="s">
        <v>226</v>
      </c>
      <c r="F14" s="97" t="s">
        <v>227</v>
      </c>
      <c r="G14" s="98" t="s">
        <v>228</v>
      </c>
      <c r="H14" s="99">
        <f>INDEX('[1]MCP-B2F-FAF.Z5'!H:H,MATCH("TỔNG CÔNG SUẤT TÍNH TOÁN*",'[1]MCP-B2F-FAF.Z5'!$G:$G,0))</f>
        <v>29.88</v>
      </c>
      <c r="I14" s="99">
        <f>INDEX('[1]MCP-B2F-FAF.Z5'!I:I,MATCH("TỔNG CÔNG SUẤT TÍNH TOÁN*",'[1]MCP-B2F-FAF.Z5'!$G:$G,0))</f>
        <v>10.41</v>
      </c>
      <c r="J14" s="99">
        <f>INDEX('[1]MCP-B2F-FAF.Z5'!J:J,MATCH("TỔNG CÔNG SUẤT TÍNH TOÁN*",'[1]MCP-B2F-FAF.Z5'!$G:$G,0))</f>
        <v>9.7899999999999991</v>
      </c>
      <c r="K14" s="99">
        <f>INDEX('[1]MCP-B2F-FAF.Z5'!K:K,MATCH("TỔNG CÔNG SUẤT TÍNH TOÁN*",'[1]MCP-B2F-FAF.Z5'!$G:$G,0))</f>
        <v>9.66</v>
      </c>
      <c r="L14" s="99">
        <f>ROUND((MAX(I14,J14,K14)/0.22),2)</f>
        <v>47.32</v>
      </c>
      <c r="M14" s="100" t="str">
        <f>INDEX('[1]MCP-B2F-FAF.Z5'!M:M,MATCH("FROM LV-MSB*",'[1]MCP-B2F-FAF.Z5'!$G:$G,0))</f>
        <v>MCCB</v>
      </c>
      <c r="N14" s="101" t="str">
        <f>INDEX('[1]MCP-B2F-FAF.Z5'!N:N,MATCH("FROM LV-MSB*",'[1]MCP-B2F-FAF.Z5'!$G:$G,0))</f>
        <v>3P</v>
      </c>
      <c r="O14" s="101" t="str">
        <f>INDEX('[1]MCP-B2F-FAF.Z5'!O:O,MATCH("FROM LV-MSB*",'[1]MCP-B2F-FAF.Z5'!$G:$G,0))</f>
        <v>63A</v>
      </c>
      <c r="P14" s="102" t="str">
        <f>INDEX('[1]MCP-B2F-FAF.Z5'!P:P,MATCH("FROM LV-MSB*",'[1]MCP-B2F-FAF.Z5'!$G:$G,0))</f>
        <v>25kA</v>
      </c>
      <c r="Q14" s="103" t="str">
        <f>INDEX('[1]MCP-B2F-FAF.Z5'!Q:Q,MATCH("FROM LV-MSB*",'[1]MCP-B2F-FAF.Z5'!$G:$G,0))</f>
        <v>4x(1Cx16) Cu/Mica/XLPE/LSZH</v>
      </c>
      <c r="R14" s="101" t="str">
        <f>INDEX('[1]MCP-B2F-FAF.Z5'!R:R,MATCH("FROM LV-MSB*",'[1]MCP-B2F-FAF.Z5'!$G:$G,0))</f>
        <v>(1Cx16) Cu/PVC</v>
      </c>
      <c r="S14" s="99" t="str">
        <f>INDEX('[1]MCP-B2F-FAF.Z5'!S:S,MATCH("FROM LV-MSB*",'[1]MCP-B2F-FAF.Z5'!$G:$G,0))</f>
        <v>IN CABLE TRAY</v>
      </c>
      <c r="T14" s="201" t="s">
        <v>6</v>
      </c>
      <c r="U14" s="148"/>
      <c r="V14" s="147"/>
    </row>
    <row r="15" spans="1:43" s="143" customFormat="1" ht="36.950000000000003" customHeight="1" x14ac:dyDescent="0.25">
      <c r="A15" s="5"/>
      <c r="B15" s="6"/>
      <c r="C15" s="6"/>
      <c r="D15" s="13"/>
      <c r="E15" s="104" t="s">
        <v>229</v>
      </c>
      <c r="F15" s="97" t="s">
        <v>230</v>
      </c>
      <c r="G15" s="98" t="s">
        <v>231</v>
      </c>
      <c r="H15" s="99">
        <f>INDEX('[1]MCP-B2F-FAF.Z6'!H:H,MATCH("TỔNG CÔNG SUẤT TÍNH TOÁN*",'[1]MCP-B2F-FAF.Z6'!$G:$G,0))</f>
        <v>44.88</v>
      </c>
      <c r="I15" s="99">
        <f>INDEX('[1]MCP-B2F-FAF.Z6'!I:I,MATCH("TỔNG CÔNG SUẤT TÍNH TOÁN*",'[1]MCP-B2F-FAF.Z6'!$G:$G,0))</f>
        <v>14.99</v>
      </c>
      <c r="J15" s="99">
        <f>INDEX('[1]MCP-B2F-FAF.Z6'!J:J,MATCH("TỔNG CÔNG SUẤT TÍNH TOÁN*",'[1]MCP-B2F-FAF.Z6'!$G:$G,0))</f>
        <v>15.49</v>
      </c>
      <c r="K15" s="99">
        <f>INDEX('[1]MCP-B2F-FAF.Z6'!K:K,MATCH("TỔNG CÔNG SUẤT TÍNH TOÁN*",'[1]MCP-B2F-FAF.Z6'!$G:$G,0))</f>
        <v>14.37</v>
      </c>
      <c r="L15" s="99">
        <f t="shared" ref="L15:L28" si="13">ROUND((MAX(I15,J15,K15)/0.22),2)</f>
        <v>70.41</v>
      </c>
      <c r="M15" s="100" t="str">
        <f>INDEX('[1]MCP-B2F-FAF.Z6'!M:M,MATCH("FROM LV-MSB*",'[1]MCP-B2F-FAF.Z6'!$G:$G,0))</f>
        <v>MCCB</v>
      </c>
      <c r="N15" s="101" t="str">
        <f>INDEX('[1]MCP-B2F-FAF.Z6'!N:N,MATCH("FROM LV-MSB*",'[1]MCP-B2F-FAF.Z6'!$G:$G,0))</f>
        <v>3P</v>
      </c>
      <c r="O15" s="101" t="str">
        <f>INDEX('[1]MCP-B2F-FAF.Z6'!O:O,MATCH("FROM LV-MSB*",'[1]MCP-B2F-FAF.Z6'!$G:$G,0))</f>
        <v>100A</v>
      </c>
      <c r="P15" s="102" t="str">
        <f>INDEX('[1]MCP-B2F-FAF.Z6'!P:P,MATCH("FROM LV-MSB*",'[1]MCP-B2F-FAF.Z6'!$G:$G,0))</f>
        <v>25kA</v>
      </c>
      <c r="Q15" s="103" t="str">
        <f>INDEX('[1]MCP-B2F-FAF.Z6'!Q:Q,MATCH("FROM LV-MSB*",'[1]MCP-B2F-FAF.Z6'!$G:$G,0))</f>
        <v>4x(1Cx35) Cu/Mica/XLPE/LSZH</v>
      </c>
      <c r="R15" s="101" t="str">
        <f>INDEX('[1]MCP-B2F-FAF.Z6'!R:R,MATCH("FROM LV-MSB*",'[1]MCP-B2F-FAF.Z6'!$G:$G,0))</f>
        <v>(1Cx16) Cu/PVC</v>
      </c>
      <c r="S15" s="99" t="str">
        <f>INDEX('[1]MCP-B2F-FAF.Z6'!S:S,MATCH("FROM LV-MSB*",'[1]MCP-B2F-FAF.Z6'!$G:$G,0))</f>
        <v>IN CABLE TRAY</v>
      </c>
      <c r="T15" s="201" t="s">
        <v>6</v>
      </c>
      <c r="U15" s="148"/>
      <c r="V15" s="147"/>
    </row>
    <row r="16" spans="1:43" s="143" customFormat="1" ht="36.950000000000003" customHeight="1" x14ac:dyDescent="0.25">
      <c r="A16" s="5"/>
      <c r="B16" s="6"/>
      <c r="C16" s="6"/>
      <c r="D16" s="13"/>
      <c r="E16" s="104" t="s">
        <v>232</v>
      </c>
      <c r="F16" s="97" t="s">
        <v>233</v>
      </c>
      <c r="G16" s="98" t="s">
        <v>234</v>
      </c>
      <c r="H16" s="99">
        <f>INDEX('[1]MCP-B2F-FAF.Z7'!H:H,MATCH("TỔNG CÔNG SUẤT TÍNH TOÁN*",'[1]MCP-B2F-FAF.Z7'!$G:$G,0))</f>
        <v>33.01</v>
      </c>
      <c r="I16" s="99">
        <f>INDEX('[1]MCP-B2F-FAF.Z7'!I:I,MATCH("TỔNG CÔNG SUẤT TÍNH TOÁN*",'[1]MCP-B2F-FAF.Z7'!$G:$G,0))</f>
        <v>11.04</v>
      </c>
      <c r="J16" s="99">
        <f>INDEX('[1]MCP-B2F-FAF.Z7'!J:J,MATCH("TỔNG CÔNG SUẤT TÍNH TOÁN*",'[1]MCP-B2F-FAF.Z7'!$G:$G,0))</f>
        <v>10.91</v>
      </c>
      <c r="K16" s="99">
        <f>INDEX('[1]MCP-B2F-FAF.Z7'!K:K,MATCH("TỔNG CÔNG SUẤT TÍNH TOÁN*",'[1]MCP-B2F-FAF.Z7'!$G:$G,0))</f>
        <v>11.04</v>
      </c>
      <c r="L16" s="99">
        <f t="shared" si="13"/>
        <v>50.18</v>
      </c>
      <c r="M16" s="100" t="str">
        <f>INDEX('[1]MCP-B2F-FAF.Z7'!M:M,MATCH("FROM LV-MSB*",'[1]MCP-B2F-FAF.Z7'!$G:$G,0))</f>
        <v>MCCB</v>
      </c>
      <c r="N16" s="101" t="str">
        <f>INDEX('[1]MCP-B2F-FAF.Z7'!N:N,MATCH("FROM LV-MSB*",'[1]MCP-B2F-FAF.Z7'!$G:$G,0))</f>
        <v>3P</v>
      </c>
      <c r="O16" s="101" t="str">
        <f>INDEX('[1]MCP-B2F-FAF.Z7'!O:O,MATCH("FROM LV-MSB*",'[1]MCP-B2F-FAF.Z7'!$G:$G,0))</f>
        <v>80A</v>
      </c>
      <c r="P16" s="102" t="str">
        <f>INDEX('[1]MCP-B2F-FAF.Z7'!P:P,MATCH("FROM LV-MSB*",'[1]MCP-B2F-FAF.Z7'!$G:$G,0))</f>
        <v>25kA</v>
      </c>
      <c r="Q16" s="103" t="str">
        <f>INDEX('[1]MCP-B2F-FAF.Z7'!Q:Q,MATCH("FROM LV-MSB*",'[1]MCP-B2F-FAF.Z7'!$G:$G,0))</f>
        <v>4x(1Cx25) Cu/Mica/XLPE/LSZH</v>
      </c>
      <c r="R16" s="101" t="str">
        <f>INDEX('[1]MCP-B2F-FAF.Z7'!R:R,MATCH("FROM LV-MSB*",'[1]MCP-B2F-FAF.Z7'!$G:$G,0))</f>
        <v>(1Cx16) Cu/PVC</v>
      </c>
      <c r="S16" s="99" t="str">
        <f>INDEX('[1]MCP-B2F-FAF.Z7'!S:S,MATCH("FROM LV-MSB*",'[1]MCP-B2F-FAF.Z7'!$G:$G,0))</f>
        <v>IN CABLE TRAY</v>
      </c>
      <c r="T16" s="201" t="s">
        <v>173</v>
      </c>
      <c r="U16" s="148"/>
      <c r="V16" s="147"/>
    </row>
    <row r="17" spans="1:22" s="143" customFormat="1" ht="36.950000000000003" customHeight="1" x14ac:dyDescent="0.25">
      <c r="A17" s="5"/>
      <c r="B17" s="6"/>
      <c r="C17" s="6"/>
      <c r="D17" s="13"/>
      <c r="E17" s="104" t="s">
        <v>235</v>
      </c>
      <c r="F17" s="97" t="s">
        <v>236</v>
      </c>
      <c r="G17" s="98" t="s">
        <v>237</v>
      </c>
      <c r="H17" s="99">
        <f>INDEX('[1]MCP-B2F-FAF.Z8'!H:H,MATCH("TỔNG CÔNG SUẤT TÍNH TOÁN*",'[1]MCP-B2F-FAF.Z8'!$G:$G,0))</f>
        <v>33.630000000000003</v>
      </c>
      <c r="I17" s="99">
        <f>INDEX('[1]MCP-B2F-FAF.Z8'!I:I,MATCH("TỔNG CÔNG SUẤT TÍNH TOÁN*",'[1]MCP-B2F-FAF.Z8'!$G:$G,0))</f>
        <v>11.66</v>
      </c>
      <c r="J17" s="99">
        <f>INDEX('[1]MCP-B2F-FAF.Z8'!J:J,MATCH("TỔNG CÔNG SUẤT TÍNH TOÁN*",'[1]MCP-B2F-FAF.Z8'!$G:$G,0))</f>
        <v>11.04</v>
      </c>
      <c r="K17" s="99">
        <f>INDEX('[1]MCP-B2F-FAF.Z8'!K:K,MATCH("TỔNG CÔNG SUẤT TÍNH TOÁN*",'[1]MCP-B2F-FAF.Z8'!$G:$G,0))</f>
        <v>10.91</v>
      </c>
      <c r="L17" s="99">
        <f t="shared" si="13"/>
        <v>53</v>
      </c>
      <c r="M17" s="100" t="str">
        <f>INDEX('[1]MCP-B2F-FAF.Z8'!M:M,MATCH("FROM LV-MSB*",'[1]MCP-B2F-FAF.Z8'!$G:$G,0))</f>
        <v>MCCB</v>
      </c>
      <c r="N17" s="101" t="str">
        <f>INDEX('[1]MCP-B2F-FAF.Z8'!N:N,MATCH("FROM LV-MSB*",'[1]MCP-B2F-FAF.Z8'!$G:$G,0))</f>
        <v>3P</v>
      </c>
      <c r="O17" s="101" t="str">
        <f>INDEX('[1]MCP-B2F-FAF.Z8'!O:O,MATCH("FROM LV-MSB*",'[1]MCP-B2F-FAF.Z8'!$G:$G,0))</f>
        <v>80A</v>
      </c>
      <c r="P17" s="102" t="str">
        <f>INDEX('[1]MCP-B2F-FAF.Z8'!P:P,MATCH("FROM LV-MSB*",'[1]MCP-B2F-FAF.Z8'!$G:$G,0))</f>
        <v>25kA</v>
      </c>
      <c r="Q17" s="103" t="str">
        <f>INDEX('[1]MCP-B2F-FAF.Z8'!Q:Q,MATCH("FROM LV-MSB*",'[1]MCP-B2F-FAF.Z8'!$G:$G,0))</f>
        <v>4x(1Cx25) Cu/Mica/XLPE/LSZH</v>
      </c>
      <c r="R17" s="101" t="str">
        <f>INDEX('[1]MCP-B2F-FAF.Z8'!R:R,MATCH("FROM LV-MSB*",'[1]MCP-B2F-FAF.Z8'!$G:$G,0))</f>
        <v>(1Cx16) Cu/PVC</v>
      </c>
      <c r="S17" s="99" t="str">
        <f>INDEX('[1]MCP-B2F-FAF.Z8'!S:S,MATCH("FROM LV-MSB*",'[1]MCP-B2F-FAF.Z8'!$G:$G,0))</f>
        <v>IN CABLE TRAY</v>
      </c>
      <c r="T17" s="201" t="s">
        <v>173</v>
      </c>
      <c r="U17" s="148"/>
      <c r="V17" s="147"/>
    </row>
    <row r="18" spans="1:22" s="143" customFormat="1" ht="36.950000000000003" customHeight="1" x14ac:dyDescent="0.25">
      <c r="A18" s="5"/>
      <c r="B18" s="6"/>
      <c r="C18" s="6"/>
      <c r="D18" s="13"/>
      <c r="E18" s="104" t="s">
        <v>238</v>
      </c>
      <c r="F18" s="97" t="s">
        <v>239</v>
      </c>
      <c r="G18" s="98" t="s">
        <v>240</v>
      </c>
      <c r="H18" s="99">
        <f>INDEX('[1]MCP-B2F-FAF.Z9'!H:H,MATCH("TỔNG CÔNG SUẤT TÍNH TOÁN*",'[1]MCP-B2F-FAF.Z9'!$G:$G,0))</f>
        <v>32.380000000000003</v>
      </c>
      <c r="I18" s="99">
        <f>INDEX('[1]MCP-B2F-FAF.Z9'!I:I,MATCH("TỔNG CÔNG SUẤT TÍNH TOÁN*",'[1]MCP-B2F-FAF.Z9'!$G:$G,0))</f>
        <v>11.04</v>
      </c>
      <c r="J18" s="99">
        <f>INDEX('[1]MCP-B2F-FAF.Z9'!J:J,MATCH("TỔNG CÔNG SUẤT TÍNH TOÁN*",'[1]MCP-B2F-FAF.Z9'!$G:$G,0))</f>
        <v>10.91</v>
      </c>
      <c r="K18" s="99">
        <f>INDEX('[1]MCP-B2F-FAF.Z9'!K:K,MATCH("TỔNG CÔNG SUẤT TÍNH TOÁN*",'[1]MCP-B2F-FAF.Z9'!$G:$G,0))</f>
        <v>10.41</v>
      </c>
      <c r="L18" s="99">
        <f t="shared" si="13"/>
        <v>50.18</v>
      </c>
      <c r="M18" s="100" t="str">
        <f>INDEX('[1]MCP-B2F-FAF.Z9'!M:M,MATCH("FROM LV-MSB*",'[1]MCP-B2F-FAF.Z9'!$G:$G,0))</f>
        <v>MCCB</v>
      </c>
      <c r="N18" s="101" t="str">
        <f>INDEX('[1]MCP-B2F-FAF.Z9'!N:N,MATCH("FROM LV-MSB*",'[1]MCP-B2F-FAF.Z9'!$G:$G,0))</f>
        <v>3P</v>
      </c>
      <c r="O18" s="101" t="str">
        <f>INDEX('[1]MCP-B2F-FAF.Z9'!O:O,MATCH("FROM LV-MSB*",'[1]MCP-B2F-FAF.Z9'!$G:$G,0))</f>
        <v>80A</v>
      </c>
      <c r="P18" s="102" t="str">
        <f>INDEX('[1]MCP-B2F-FAF.Z9'!P:P,MATCH("FROM LV-MSB*",'[1]MCP-B2F-FAF.Z9'!$G:$G,0))</f>
        <v>25kA</v>
      </c>
      <c r="Q18" s="103" t="str">
        <f>INDEX('[1]MCP-B2F-FAF.Z9'!Q:Q,MATCH("FROM LV-MSB*",'[1]MCP-B2F-FAF.Z9'!$G:$G,0))</f>
        <v>4x(1Cx25) Cu/Mica/XLPE/LSZH</v>
      </c>
      <c r="R18" s="101" t="str">
        <f>INDEX('[1]MCP-B2F-FAF.Z9'!R:R,MATCH("FROM LV-MSB*",'[1]MCP-B2F-FAF.Z9'!$G:$G,0))</f>
        <v>(1Cx16) Cu/PVC</v>
      </c>
      <c r="S18" s="99" t="str">
        <f>INDEX('[1]MCP-B2F-FAF.Z9'!S:S,MATCH("FROM LV-MSB*",'[1]MCP-B2F-FAF.Z9'!$G:$G,0))</f>
        <v>IN CABLE TRAY</v>
      </c>
      <c r="T18" s="201" t="s">
        <v>6</v>
      </c>
      <c r="U18" s="148"/>
      <c r="V18" s="147"/>
    </row>
    <row r="19" spans="1:22" s="143" customFormat="1" ht="36.950000000000003" customHeight="1" x14ac:dyDescent="0.25">
      <c r="A19" s="5"/>
      <c r="B19" s="6"/>
      <c r="C19" s="6"/>
      <c r="D19" s="13"/>
      <c r="E19" s="104" t="s">
        <v>241</v>
      </c>
      <c r="F19" s="97" t="s">
        <v>242</v>
      </c>
      <c r="G19" s="98" t="s">
        <v>243</v>
      </c>
      <c r="H19" s="99">
        <f>INDEX('[1]MCP-B2F-SEAF.Z1'!H:H,MATCH("TỔNG CÔNG SUẤT TÍNH TOÁN*",'[1]MCP-B2F-SEAF.Z1'!$G:$G,0))</f>
        <v>61.13</v>
      </c>
      <c r="I19" s="99">
        <f>INDEX('[1]MCP-B2F-SEAF.Z1'!I:I,MATCH("TỔNG CÔNG SUẤT TÍNH TOÁN*",'[1]MCP-B2F-SEAF.Z1'!$G:$G,0))</f>
        <v>20.84</v>
      </c>
      <c r="J19" s="99">
        <f>INDEX('[1]MCP-B2F-SEAF.Z1'!J:J,MATCH("TỔNG CÔNG SUẤT TÍNH TOÁN*",'[1]MCP-B2F-SEAF.Z1'!$G:$G,0))</f>
        <v>20.22</v>
      </c>
      <c r="K19" s="99">
        <f>INDEX('[1]MCP-B2F-SEAF.Z1'!K:K,MATCH("TỔNG CÔNG SUẤT TÍNH TOÁN*",'[1]MCP-B2F-SEAF.Z1'!$G:$G,0))</f>
        <v>20.09</v>
      </c>
      <c r="L19" s="99">
        <f t="shared" si="13"/>
        <v>94.73</v>
      </c>
      <c r="M19" s="100" t="str">
        <f>INDEX('[1]MCP-B2F-SEAF.Z1'!M:M,MATCH("FROM LV-MSB*",'[1]MCP-B2F-SEAF.Z1'!$G:$G,0))</f>
        <v>MCCB</v>
      </c>
      <c r="N19" s="101" t="str">
        <f>INDEX('[1]MCP-B2F-SEAF.Z1'!N:N,MATCH("FROM LV-MSB*",'[1]MCP-B2F-SEAF.Z1'!$G:$G,0))</f>
        <v>3P</v>
      </c>
      <c r="O19" s="101" t="str">
        <f>INDEX('[1]MCP-B2F-SEAF.Z1'!O:O,MATCH("FROM LV-MSB*",'[1]MCP-B2F-SEAF.Z1'!$G:$G,0))</f>
        <v>125A</v>
      </c>
      <c r="P19" s="102" t="str">
        <f>INDEX('[1]MCP-B2F-SEAF.Z1'!P:P,MATCH("FROM LV-MSB*",'[1]MCP-B2F-SEAF.Z1'!$G:$G,0))</f>
        <v>25kA</v>
      </c>
      <c r="Q19" s="103" t="str">
        <f>INDEX('[1]MCP-B2F-SEAF.Z1'!Q:Q,MATCH("FROM LV-MSB*",'[1]MCP-B2F-SEAF.Z1'!$G:$G,0))</f>
        <v>4x(1Cx50) Cu/Mica/XLPE/LSZH</v>
      </c>
      <c r="R19" s="101" t="str">
        <f>INDEX('[1]MCP-B2F-SEAF.Z1'!R:R,MATCH("FROM LV-MSB*",'[1]MCP-B2F-SEAF.Z1'!$G:$G,0))</f>
        <v>(1Cx25) Cu/PVC</v>
      </c>
      <c r="S19" s="99" t="str">
        <f>INDEX('[1]MCP-B2F-SEAF.Z1'!S:S,MATCH("FROM LV-MSB*",'[1]MCP-B2F-SEAF.Z1'!$G:$G,0))</f>
        <v>IN CABLE TRAY</v>
      </c>
      <c r="T19" s="201" t="s">
        <v>6</v>
      </c>
      <c r="U19" s="148"/>
      <c r="V19" s="147"/>
    </row>
    <row r="20" spans="1:22" s="143" customFormat="1" ht="36.950000000000003" customHeight="1" x14ac:dyDescent="0.25">
      <c r="A20" s="5"/>
      <c r="B20" s="6"/>
      <c r="C20" s="6"/>
      <c r="D20" s="13"/>
      <c r="E20" s="104" t="s">
        <v>244</v>
      </c>
      <c r="F20" s="97" t="s">
        <v>245</v>
      </c>
      <c r="G20" s="98" t="s">
        <v>246</v>
      </c>
      <c r="H20" s="99">
        <f>INDEX('[1]MCP-B2F-SEAF.Z2'!H:H,MATCH("TỔNG CÔNG SUẤT TÍNH TOÁN*",'[1]MCP-B2F-SEAF.Z2'!$G:$G,0))</f>
        <v>59.88</v>
      </c>
      <c r="I20" s="99">
        <f>INDEX('[1]MCP-B2F-SEAF.Z2'!I:I,MATCH("TỔNG CÔNG SUẤT TÍNH TOÁN*",'[1]MCP-B2F-SEAF.Z2'!$G:$G,0))</f>
        <v>20.22</v>
      </c>
      <c r="J20" s="99">
        <f>INDEX('[1]MCP-B2F-SEAF.Z2'!J:J,MATCH("TỔNG CÔNG SUẤT TÍNH TOÁN*",'[1]MCP-B2F-SEAF.Z2'!$G:$G,0))</f>
        <v>20.09</v>
      </c>
      <c r="K20" s="99">
        <f>INDEX('[1]MCP-B2F-SEAF.Z2'!K:K,MATCH("TỔNG CÔNG SUẤT TÍNH TOÁN*",'[1]MCP-B2F-SEAF.Z2'!$G:$G,0))</f>
        <v>19.59</v>
      </c>
      <c r="L20" s="99">
        <f t="shared" si="13"/>
        <v>91.91</v>
      </c>
      <c r="M20" s="100" t="str">
        <f>INDEX('[1]MCP-B2F-SEAF.Z2'!M:M,MATCH("FROM LV-MSB*",'[1]MCP-B2F-SEAF.Z2'!$G:$G,0))</f>
        <v>MCCB</v>
      </c>
      <c r="N20" s="101" t="str">
        <f>INDEX('[1]MCP-B2F-SEAF.Z2'!N:N,MATCH("FROM LV-MSB*",'[1]MCP-B2F-SEAF.Z2'!$G:$G,0))</f>
        <v>3P</v>
      </c>
      <c r="O20" s="101" t="str">
        <f>INDEX('[1]MCP-B2F-SEAF.Z2'!O:O,MATCH("FROM LV-MSB*",'[1]MCP-B2F-SEAF.Z2'!$G:$G,0))</f>
        <v>125A</v>
      </c>
      <c r="P20" s="102" t="str">
        <f>INDEX('[1]MCP-B2F-SEAF.Z2'!P:P,MATCH("FROM LV-MSB*",'[1]MCP-B2F-SEAF.Z2'!$G:$G,0))</f>
        <v>25kA</v>
      </c>
      <c r="Q20" s="103" t="str">
        <f>INDEX('[1]MCP-B2F-SEAF.Z2'!Q:Q,MATCH("FROM LV-MSB*",'[1]MCP-B2F-SEAF.Z2'!$G:$G,0))</f>
        <v>4x(1Cx50) Cu/Mica/XLPE/LSZH</v>
      </c>
      <c r="R20" s="101" t="str">
        <f>INDEX('[1]MCP-B2F-SEAF.Z2'!R:R,MATCH("FROM LV-MSB*",'[1]MCP-B2F-SEAF.Z2'!$G:$G,0))</f>
        <v>(1Cx25) Cu/PVC</v>
      </c>
      <c r="S20" s="99" t="str">
        <f>INDEX('[1]MCP-B2F-SEAF.Z2'!S:S,MATCH("FROM LV-MSB*",'[1]MCP-B2F-SEAF.Z2'!$G:$G,0))</f>
        <v>IN CABLE TRAY</v>
      </c>
      <c r="T20" s="201" t="s">
        <v>6</v>
      </c>
      <c r="U20" s="148"/>
      <c r="V20" s="147"/>
    </row>
    <row r="21" spans="1:22" s="143" customFormat="1" ht="36.950000000000003" customHeight="1" x14ac:dyDescent="0.25">
      <c r="A21" s="5"/>
      <c r="B21" s="6"/>
      <c r="C21" s="6"/>
      <c r="D21" s="13"/>
      <c r="E21" s="104" t="s">
        <v>247</v>
      </c>
      <c r="F21" s="97" t="s">
        <v>248</v>
      </c>
      <c r="G21" s="98" t="s">
        <v>249</v>
      </c>
      <c r="H21" s="99">
        <f>INDEX('[1]MCP-B2F-SEAF.Z3'!H:H,MATCH("TỔNG CÔNG SUẤT TÍNH TOÁN*",'[1]MCP-B2F-SEAF.Z3'!$G:$G,0))</f>
        <v>57.38</v>
      </c>
      <c r="I21" s="99">
        <f>INDEX('[1]MCP-B2F-SEAF.Z3'!I:I,MATCH("TỔNG CÔNG SUẤT TÍNH TOÁN*",'[1]MCP-B2F-SEAF.Z3'!$G:$G,0))</f>
        <v>19.59</v>
      </c>
      <c r="J21" s="99">
        <f>INDEX('[1]MCP-B2F-SEAF.Z3'!J:J,MATCH("TỔNG CÔNG SUẤT TÍNH TOÁN*",'[1]MCP-B2F-SEAF.Z3'!$G:$G,0))</f>
        <v>18.97</v>
      </c>
      <c r="K21" s="99">
        <f>INDEX('[1]MCP-B2F-SEAF.Z3'!K:K,MATCH("TỔNG CÔNG SUẤT TÍNH TOÁN*",'[1]MCP-B2F-SEAF.Z3'!$G:$G,0))</f>
        <v>18.84</v>
      </c>
      <c r="L21" s="99">
        <f t="shared" si="13"/>
        <v>89.05</v>
      </c>
      <c r="M21" s="100" t="str">
        <f>INDEX('[1]MCP-B2F-SEAF.Z3'!M:M,MATCH("FROM LV-MSB*",'[1]MCP-B2F-SEAF.Z3'!$G:$G,0))</f>
        <v>MCCB</v>
      </c>
      <c r="N21" s="101" t="str">
        <f>INDEX('[1]MCP-B2F-SEAF.Z3'!N:N,MATCH("FROM LV-MSB*",'[1]MCP-B2F-SEAF.Z3'!$G:$G,0))</f>
        <v>3P</v>
      </c>
      <c r="O21" s="101" t="str">
        <f>INDEX('[1]MCP-B2F-SEAF.Z3'!O:O,MATCH("FROM LV-MSB*",'[1]MCP-B2F-SEAF.Z3'!$G:$G,0))</f>
        <v>125A</v>
      </c>
      <c r="P21" s="102" t="str">
        <f>INDEX('[1]MCP-B2F-SEAF.Z3'!P:P,MATCH("FROM LV-MSB*",'[1]MCP-B2F-SEAF.Z3'!$G:$G,0))</f>
        <v>25kA</v>
      </c>
      <c r="Q21" s="103" t="str">
        <f>INDEX('[1]MCP-B2F-SEAF.Z3'!Q:Q,MATCH("FROM LV-MSB*",'[1]MCP-B2F-SEAF.Z3'!$G:$G,0))</f>
        <v>4x(1Cx50) Cu/Mica/XLPE/LSZH</v>
      </c>
      <c r="R21" s="101" t="str">
        <f>INDEX('[1]MCP-B2F-SEAF.Z3'!R:R,MATCH("FROM LV-MSB*",'[1]MCP-B2F-SEAF.Z3'!$G:$G,0))</f>
        <v>(1Cx25) Cu/PVC</v>
      </c>
      <c r="S21" s="99" t="str">
        <f>INDEX('[1]MCP-B2F-SEAF.Z3'!S:S,MATCH("FROM LV-MSB*",'[1]MCP-B2F-SEAF.Z3'!$G:$G,0))</f>
        <v>IN CABLE TRAY</v>
      </c>
      <c r="T21" s="201" t="s">
        <v>173</v>
      </c>
      <c r="U21" s="148"/>
      <c r="V21" s="147"/>
    </row>
    <row r="22" spans="1:22" s="143" customFormat="1" ht="36.950000000000003" customHeight="1" x14ac:dyDescent="0.25">
      <c r="A22" s="5"/>
      <c r="B22" s="6"/>
      <c r="C22" s="6"/>
      <c r="D22" s="13"/>
      <c r="E22" s="104" t="s">
        <v>250</v>
      </c>
      <c r="F22" s="97" t="s">
        <v>251</v>
      </c>
      <c r="G22" s="98" t="s">
        <v>252</v>
      </c>
      <c r="H22" s="99">
        <f>INDEX('[1]MCP-B2F-SEAF.Z4'!H:H,MATCH("TỔNG CÔNG SUẤT TÍNH TOÁN*",'[1]MCP-B2F-SEAF.Z4'!$G:$G,0))</f>
        <v>48.64</v>
      </c>
      <c r="I22" s="99">
        <f>INDEX('[1]MCP-B2F-SEAF.Z4'!I:I,MATCH("TỔNG CÔNG SUẤT TÍNH TOÁN*",'[1]MCP-B2F-SEAF.Z4'!$G:$G,0))</f>
        <v>16.670000000000002</v>
      </c>
      <c r="J22" s="99">
        <f>INDEX('[1]MCP-B2F-SEAF.Z4'!J:J,MATCH("TỔNG CÔNG SUẤT TÍNH TOÁN*",'[1]MCP-B2F-SEAF.Z4'!$G:$G,0))</f>
        <v>16.05</v>
      </c>
      <c r="K22" s="99">
        <f>INDEX('[1]MCP-B2F-SEAF.Z4'!K:K,MATCH("TỔNG CÔNG SUẤT TÍNH TOÁN*",'[1]MCP-B2F-SEAF.Z4'!$G:$G,0))</f>
        <v>15.92</v>
      </c>
      <c r="L22" s="99">
        <f t="shared" si="13"/>
        <v>75.77</v>
      </c>
      <c r="M22" s="100" t="str">
        <f>INDEX('[1]MCP-B2F-SEAF.Z4'!M:M,MATCH("FROM LV-MSB*",'[1]MCP-B2F-SEAF.Z4'!$G:$G,0))</f>
        <v>MCCB</v>
      </c>
      <c r="N22" s="101" t="str">
        <f>INDEX('[1]MCP-B2F-SEAF.Z4'!N:N,MATCH("FROM LV-MSB*",'[1]MCP-B2F-SEAF.Z4'!$G:$G,0))</f>
        <v>3P</v>
      </c>
      <c r="O22" s="101" t="str">
        <f>INDEX('[1]MCP-B2F-SEAF.Z4'!O:O,MATCH("FROM LV-MSB*",'[1]MCP-B2F-SEAF.Z4'!$G:$G,0))</f>
        <v>100A</v>
      </c>
      <c r="P22" s="102" t="str">
        <f>INDEX('[1]MCP-B2F-SEAF.Z4'!P:P,MATCH("FROM LV-MSB*",'[1]MCP-B2F-SEAF.Z4'!$G:$G,0))</f>
        <v>25kA</v>
      </c>
      <c r="Q22" s="103" t="str">
        <f>INDEX('[1]MCP-B2F-SEAF.Z4'!Q:Q,MATCH("FROM LV-MSB*",'[1]MCP-B2F-SEAF.Z4'!$G:$G,0))</f>
        <v>4x(1Cx35) Cu/Mica/XLPE/LSZH</v>
      </c>
      <c r="R22" s="101" t="str">
        <f>INDEX('[1]MCP-B2F-SEAF.Z4'!R:R,MATCH("FROM LV-MSB*",'[1]MCP-B2F-SEAF.Z4'!$G:$G,0))</f>
        <v>(1Cx16 Cu/PVC</v>
      </c>
      <c r="S22" s="99" t="str">
        <f>INDEX('[1]MCP-B2F-SEAF.Z4'!S:S,MATCH("FROM LV-MSB*",'[1]MCP-B2F-SEAF.Z4'!$G:$G,0))</f>
        <v>IN CABLE TRAY</v>
      </c>
      <c r="T22" s="201" t="s">
        <v>173</v>
      </c>
      <c r="U22" s="148"/>
      <c r="V22" s="147"/>
    </row>
    <row r="23" spans="1:22" s="143" customFormat="1" ht="36.950000000000003" customHeight="1" x14ac:dyDescent="0.25">
      <c r="A23" s="5"/>
      <c r="B23" s="6"/>
      <c r="C23" s="6"/>
      <c r="D23" s="13"/>
      <c r="E23" s="104" t="s">
        <v>253</v>
      </c>
      <c r="F23" s="97" t="s">
        <v>254</v>
      </c>
      <c r="G23" s="98" t="s">
        <v>255</v>
      </c>
      <c r="H23" s="99">
        <f>INDEX('[1]MCP-B2F-SEAF.Z5'!H:H,MATCH("TỔNG CÔNG SUẤT TÍNH TOÁN*",'[1]MCP-B2F-SEAF.Z5'!$G:$G,0))</f>
        <v>47.39</v>
      </c>
      <c r="I23" s="99">
        <f>INDEX('[1]MCP-B2F-SEAF.Z5'!I:I,MATCH("TỔNG CÔNG SUẤT TÍNH TOÁN*",'[1]MCP-B2F-SEAF.Z5'!$G:$G,0))</f>
        <v>16.05</v>
      </c>
      <c r="J23" s="99">
        <f>INDEX('[1]MCP-B2F-SEAF.Z5'!J:J,MATCH("TỔNG CÔNG SUẤT TÍNH TOÁN*",'[1]MCP-B2F-SEAF.Z5'!$G:$G,0))</f>
        <v>15.92</v>
      </c>
      <c r="K23" s="99">
        <f>INDEX('[1]MCP-B2F-SEAF.Z5'!K:K,MATCH("TỔNG CÔNG SUẤT TÍNH TOÁN*",'[1]MCP-B2F-SEAF.Z5'!$G:$G,0))</f>
        <v>15.42</v>
      </c>
      <c r="L23" s="99">
        <f t="shared" si="13"/>
        <v>72.95</v>
      </c>
      <c r="M23" s="100" t="str">
        <f>INDEX('[1]MCP-B2F-SEAF.Z5'!M:M,MATCH("FROM LV-MSB*",'[1]MCP-B2F-SEAF.Z5'!$G:$G,0))</f>
        <v>MCCB</v>
      </c>
      <c r="N23" s="101" t="str">
        <f>INDEX('[1]MCP-B2F-SEAF.Z5'!N:N,MATCH("FROM LV-MSB*",'[1]MCP-B2F-SEAF.Z5'!$G:$G,0))</f>
        <v>3P</v>
      </c>
      <c r="O23" s="101" t="str">
        <f>INDEX('[1]MCP-B2F-SEAF.Z5'!O:O,MATCH("FROM LV-MSB*",'[1]MCP-B2F-SEAF.Z5'!$G:$G,0))</f>
        <v>100A</v>
      </c>
      <c r="P23" s="102" t="str">
        <f>INDEX('[1]MCP-B2F-SEAF.Z5'!P:P,MATCH("FROM LV-MSB*",'[1]MCP-B2F-SEAF.Z5'!$G:$G,0))</f>
        <v>25kA</v>
      </c>
      <c r="Q23" s="103" t="str">
        <f>INDEX('[1]MCP-B2F-SEAF.Z5'!Q:Q,MATCH("FROM LV-MSB*",'[1]MCP-B2F-SEAF.Z5'!$G:$G,0))</f>
        <v>4x(1Cx35) Cu/Mica/XLPE/LSZH</v>
      </c>
      <c r="R23" s="101" t="str">
        <f>INDEX('[1]MCP-B2F-SEAF.Z5'!R:R,MATCH("FROM LV-MSB*",'[1]MCP-B2F-SEAF.Z5'!$G:$G,0))</f>
        <v>(1Cx16) Cu/PVC</v>
      </c>
      <c r="S23" s="99" t="str">
        <f>INDEX('[1]MCP-B2F-SEAF.Z5'!S:S,MATCH("FROM LV-MSB*",'[1]MCP-B2F-SEAF.Z5'!$G:$G,0))</f>
        <v>IN CABLE TRAY</v>
      </c>
      <c r="T23" s="201" t="s">
        <v>6</v>
      </c>
      <c r="U23" s="148"/>
      <c r="V23" s="147"/>
    </row>
    <row r="24" spans="1:22" s="143" customFormat="1" ht="36.950000000000003" customHeight="1" x14ac:dyDescent="0.25">
      <c r="A24" s="5"/>
      <c r="B24" s="6"/>
      <c r="C24" s="6"/>
      <c r="D24" s="13"/>
      <c r="E24" s="104" t="s">
        <v>256</v>
      </c>
      <c r="F24" s="97" t="s">
        <v>257</v>
      </c>
      <c r="G24" s="98" t="s">
        <v>258</v>
      </c>
      <c r="H24" s="99">
        <f>INDEX('[1]MCP-B2F-SEAF.Z6'!H:H,MATCH("TỔNG CÔNG SUẤT TÍNH TOÁN*",'[1]MCP-B2F-SEAF.Z6'!$G:$G,0))</f>
        <v>56.13</v>
      </c>
      <c r="I24" s="99">
        <f>INDEX('[1]MCP-B2F-SEAF.Z6'!I:I,MATCH("TỔNG CÔNG SUẤT TÍNH TOÁN*",'[1]MCP-B2F-SEAF.Z6'!$G:$G,0))</f>
        <v>18.97</v>
      </c>
      <c r="J24" s="99">
        <f>INDEX('[1]MCP-B2F-SEAF.Z6'!J:J,MATCH("TỔNG CÔNG SUẤT TÍNH TOÁN*",'[1]MCP-B2F-SEAF.Z6'!$G:$G,0))</f>
        <v>18.84</v>
      </c>
      <c r="K24" s="99">
        <f>INDEX('[1]MCP-B2F-SEAF.Z6'!K:K,MATCH("TỔNG CÔNG SUẤT TÍNH TOÁN*",'[1]MCP-B2F-SEAF.Z6'!$G:$G,0))</f>
        <v>18.34</v>
      </c>
      <c r="L24" s="99">
        <f t="shared" si="13"/>
        <v>86.23</v>
      </c>
      <c r="M24" s="100" t="str">
        <f>INDEX('[1]MCP-B2F-SEAF.Z6'!M:M,MATCH("FROM LV-MSB*",'[1]MCP-B2F-SEAF.Z6'!$G:$G,0))</f>
        <v>MCCB</v>
      </c>
      <c r="N24" s="101" t="str">
        <f>INDEX('[1]MCP-B2F-SEAF.Z6'!N:N,MATCH("FROM LV-MSB*",'[1]MCP-B2F-SEAF.Z6'!$G:$G,0))</f>
        <v>3P</v>
      </c>
      <c r="O24" s="101" t="str">
        <f>INDEX('[1]MCP-B2F-SEAF.Z6'!O:O,MATCH("FROM LV-MSB*",'[1]MCP-B2F-SEAF.Z6'!$G:$G,0))</f>
        <v>125A</v>
      </c>
      <c r="P24" s="102" t="str">
        <f>INDEX('[1]MCP-B2F-SEAF.Z6'!P:P,MATCH("FROM LV-MSB*",'[1]MCP-B2F-SEAF.Z6'!$G:$G,0))</f>
        <v>25kA</v>
      </c>
      <c r="Q24" s="103" t="str">
        <f>INDEX('[1]MCP-B2F-SEAF.Z6'!Q:Q,MATCH("FROM LV-MSB*",'[1]MCP-B2F-SEAF.Z6'!$G:$G,0))</f>
        <v>4x(1Cx50) Cu/Mica/XLPE/LSZH</v>
      </c>
      <c r="R24" s="101" t="str">
        <f>INDEX('[1]MCP-B2F-SEAF.Z6'!R:R,MATCH("FROM LV-MSB*",'[1]MCP-B2F-SEAF.Z6'!$G:$G,0))</f>
        <v>(1Cx25) Cu/PVC</v>
      </c>
      <c r="S24" s="99" t="str">
        <f>INDEX('[1]MCP-B2F-SEAF.Z6'!S:S,MATCH("FROM LV-MSB*",'[1]MCP-B2F-SEAF.Z6'!$G:$G,0))</f>
        <v>IN CABLE TRAY</v>
      </c>
      <c r="T24" s="201" t="s">
        <v>6</v>
      </c>
      <c r="U24" s="148"/>
      <c r="V24" s="147"/>
    </row>
    <row r="25" spans="1:22" s="143" customFormat="1" ht="36.950000000000003" customHeight="1" x14ac:dyDescent="0.25">
      <c r="A25" s="5"/>
      <c r="B25" s="6"/>
      <c r="C25" s="6"/>
      <c r="D25" s="13"/>
      <c r="E25" s="104" t="s">
        <v>259</v>
      </c>
      <c r="F25" s="97" t="s">
        <v>260</v>
      </c>
      <c r="G25" s="98" t="s">
        <v>261</v>
      </c>
      <c r="H25" s="99">
        <f>INDEX('[1]MCP-B2F-SEAF.Z7'!H:H,MATCH("TỔNG CÔNG SUẤT TÍNH TOÁN*",'[1]MCP-B2F-SEAF.Z7'!$G:$G,0))</f>
        <v>49.89</v>
      </c>
      <c r="I25" s="99">
        <f>INDEX('[1]MCP-B2F-SEAF.Z7'!I:I,MATCH("TỔNG CÔNG SUẤT TÍNH TOÁN*",'[1]MCP-B2F-SEAF.Z7'!$G:$G,0))</f>
        <v>17.170000000000002</v>
      </c>
      <c r="J25" s="99">
        <f>INDEX('[1]MCP-B2F-SEAF.Z7'!J:J,MATCH("TỔNG CÔNG SUẤT TÍNH TOÁN*",'[1]MCP-B2F-SEAF.Z7'!$G:$G,0))</f>
        <v>16.670000000000002</v>
      </c>
      <c r="K25" s="99">
        <f>INDEX('[1]MCP-B2F-SEAF.Z7'!K:K,MATCH("TỔNG CÔNG SUẤT TÍNH TOÁN*",'[1]MCP-B2F-SEAF.Z7'!$G:$G,0))</f>
        <v>16.05</v>
      </c>
      <c r="L25" s="99">
        <f t="shared" si="13"/>
        <v>78.05</v>
      </c>
      <c r="M25" s="100" t="str">
        <f>INDEX('[1]MCP-B2F-SEAF.Z7'!M:M,MATCH("FROM LV-MSB*",'[1]MCP-B2F-SEAF.Z7'!$G:$G,0))</f>
        <v>MCCB</v>
      </c>
      <c r="N25" s="101" t="str">
        <f>INDEX('[1]MCP-B2F-SEAF.Z7'!N:N,MATCH("FROM LV-MSB*",'[1]MCP-B2F-SEAF.Z7'!$G:$G,0))</f>
        <v>3P</v>
      </c>
      <c r="O25" s="101" t="str">
        <f>INDEX('[1]MCP-B2F-SEAF.Z7'!O:O,MATCH("FROM LV-MSB*",'[1]MCP-B2F-SEAF.Z7'!$G:$G,0))</f>
        <v>125A</v>
      </c>
      <c r="P25" s="102" t="str">
        <f>INDEX('[1]MCP-B2F-SEAF.Z7'!P:P,MATCH("FROM LV-MSB*",'[1]MCP-B2F-SEAF.Z7'!$G:$G,0))</f>
        <v>25kA</v>
      </c>
      <c r="Q25" s="103" t="str">
        <f>INDEX('[1]MCP-B2F-SEAF.Z7'!Q:Q,MATCH("FROM LV-MSB*",'[1]MCP-B2F-SEAF.Z7'!$G:$G,0))</f>
        <v>4x(1Cx50) Cu/Mica/XLPE/LSZH</v>
      </c>
      <c r="R25" s="101" t="str">
        <f>INDEX('[1]MCP-B2F-SEAF.Z7'!R:R,MATCH("FROM LV-MSB*",'[1]MCP-B2F-SEAF.Z7'!$G:$G,0))</f>
        <v>(1Cx25) Cu/PVC</v>
      </c>
      <c r="S25" s="99" t="str">
        <f>INDEX('[1]MCP-B2F-SEAF.Z7'!S:S,MATCH("FROM LV-MSB*",'[1]MCP-B2F-SEAF.Z7'!$G:$G,0))</f>
        <v>IN CABLE TRAY</v>
      </c>
      <c r="T25" s="201" t="s">
        <v>173</v>
      </c>
      <c r="U25" s="148"/>
      <c r="V25" s="147"/>
    </row>
    <row r="26" spans="1:22" s="143" customFormat="1" ht="36.950000000000003" customHeight="1" x14ac:dyDescent="0.25">
      <c r="A26" s="5"/>
      <c r="B26" s="6"/>
      <c r="C26" s="6"/>
      <c r="D26" s="13"/>
      <c r="E26" s="104" t="s">
        <v>262</v>
      </c>
      <c r="F26" s="97" t="s">
        <v>263</v>
      </c>
      <c r="G26" s="98" t="s">
        <v>264</v>
      </c>
      <c r="H26" s="99">
        <f>INDEX('[1]MCP-B2F-SEAF.Z8'!H:H,MATCH("TỔNG CÔNG SUẤT TÍNH TOÁN*",'[1]MCP-B2F-SEAF.Z8'!$G:$G,0))</f>
        <v>48.64</v>
      </c>
      <c r="I26" s="99">
        <f>INDEX('[1]MCP-B2F-SEAF.Z8'!I:I,MATCH("TỔNG CÔNG SUẤT TÍNH TOÁN*",'[1]MCP-B2F-SEAF.Z8'!$G:$G,0))</f>
        <v>16.670000000000002</v>
      </c>
      <c r="J26" s="99">
        <f>INDEX('[1]MCP-B2F-SEAF.Z8'!J:J,MATCH("TỔNG CÔNG SUẤT TÍNH TOÁN*",'[1]MCP-B2F-SEAF.Z8'!$G:$G,0))</f>
        <v>16.05</v>
      </c>
      <c r="K26" s="99">
        <f>INDEX('[1]MCP-B2F-SEAF.Z8'!K:K,MATCH("TỔNG CÔNG SUẤT TÍNH TOÁN*",'[1]MCP-B2F-SEAF.Z8'!$G:$G,0))</f>
        <v>15.92</v>
      </c>
      <c r="L26" s="99">
        <f t="shared" si="13"/>
        <v>75.77</v>
      </c>
      <c r="M26" s="100" t="str">
        <f>INDEX('[1]MCP-B2F-SEAF.Z8'!M:M,MATCH("FROM LV-MSB*",'[1]MCP-B2F-SEAF.Z8'!$G:$G,0))</f>
        <v>MCCB</v>
      </c>
      <c r="N26" s="101" t="str">
        <f>INDEX('[1]MCP-B2F-SEAF.Z8'!N:N,MATCH("FROM LV-MSB*",'[1]MCP-B2F-SEAF.Z8'!$G:$G,0))</f>
        <v>3P</v>
      </c>
      <c r="O26" s="101" t="str">
        <f>INDEX('[1]MCP-B2F-SEAF.Z8'!O:O,MATCH("FROM LV-MSB*",'[1]MCP-B2F-SEAF.Z8'!$G:$G,0))</f>
        <v>125A</v>
      </c>
      <c r="P26" s="102" t="str">
        <f>INDEX('[1]MCP-B2F-SEAF.Z8'!P:P,MATCH("FROM LV-MSB*",'[1]MCP-B2F-SEAF.Z8'!$G:$G,0))</f>
        <v>25kA</v>
      </c>
      <c r="Q26" s="103" t="str">
        <f>INDEX('[1]MCP-B2F-SEAF.Z8'!Q:Q,MATCH("FROM LV-MSB*",'[1]MCP-B2F-SEAF.Z8'!$G:$G,0))</f>
        <v>4x(1Cx50) Cu/Mica/XLPE/LSZH</v>
      </c>
      <c r="R26" s="101" t="str">
        <f>INDEX('[1]MCP-B2F-SEAF.Z8'!R:R,MATCH("FROM LV-MSB*",'[1]MCP-B2F-SEAF.Z8'!$G:$G,0))</f>
        <v>(1Cx25) Cu/PVC</v>
      </c>
      <c r="S26" s="99" t="str">
        <f>INDEX('[1]MCP-B2F-SEAF.Z8'!S:S,MATCH("FROM LV-MSB*",'[1]MCP-B2F-SEAF.Z8'!$G:$G,0))</f>
        <v>IN CABLE TRAY</v>
      </c>
      <c r="T26" s="201" t="s">
        <v>173</v>
      </c>
      <c r="U26" s="148"/>
      <c r="V26" s="147"/>
    </row>
    <row r="27" spans="1:22" s="143" customFormat="1" ht="36.950000000000003" customHeight="1" x14ac:dyDescent="0.25">
      <c r="A27" s="5"/>
      <c r="B27" s="6"/>
      <c r="C27" s="6"/>
      <c r="D27" s="13"/>
      <c r="E27" s="104" t="s">
        <v>265</v>
      </c>
      <c r="F27" s="97" t="s">
        <v>266</v>
      </c>
      <c r="G27" s="98" t="s">
        <v>267</v>
      </c>
      <c r="H27" s="99">
        <f>INDEX('[1]MCP-B2F-SEAF.Z9'!H:H,MATCH("TỔNG CÔNG SUẤT TÍNH TOÁN*",'[1]MCP-B2F-SEAF.Z9'!$G:$G,0))</f>
        <v>56.13</v>
      </c>
      <c r="I27" s="99">
        <f>INDEX('[1]MCP-B2F-SEAF.Z9'!I:I,MATCH("TỔNG CÔNG SUẤT TÍNH TOÁN*",'[1]MCP-B2F-SEAF.Z9'!$G:$G,0))</f>
        <v>18.97</v>
      </c>
      <c r="J27" s="99">
        <f>INDEX('[1]MCP-B2F-SEAF.Z9'!J:J,MATCH("TỔNG CÔNG SUẤT TÍNH TOÁN*",'[1]MCP-B2F-SEAF.Z9'!$G:$G,0))</f>
        <v>18.84</v>
      </c>
      <c r="K27" s="99">
        <f>INDEX('[1]MCP-B2F-SEAF.Z9'!K:K,MATCH("TỔNG CÔNG SUẤT TÍNH TOÁN*",'[1]MCP-B2F-SEAF.Z9'!$G:$G,0))</f>
        <v>18.34</v>
      </c>
      <c r="L27" s="99">
        <f t="shared" si="13"/>
        <v>86.23</v>
      </c>
      <c r="M27" s="100" t="str">
        <f>INDEX('[1]MCP-B2F-SEAF.Z9'!M:M,MATCH("FROM LV-MSB*",'[1]MCP-B2F-SEAF.Z9'!$G:$G,0))</f>
        <v>MCCB</v>
      </c>
      <c r="N27" s="101" t="str">
        <f>INDEX('[1]MCP-B2F-SEAF.Z9'!N:N,MATCH("FROM LV-MSB*",'[1]MCP-B2F-SEAF.Z9'!$G:$G,0))</f>
        <v>3P</v>
      </c>
      <c r="O27" s="101" t="str">
        <f>INDEX('[1]MCP-B2F-SEAF.Z9'!O:O,MATCH("FROM LV-MSB*",'[1]MCP-B2F-SEAF.Z9'!$G:$G,0))</f>
        <v>125A</v>
      </c>
      <c r="P27" s="102" t="str">
        <f>INDEX('[1]MCP-B2F-SEAF.Z9'!P:P,MATCH("FROM LV-MSB*",'[1]MCP-B2F-SEAF.Z9'!$G:$G,0))</f>
        <v>25kA</v>
      </c>
      <c r="Q27" s="103" t="str">
        <f>INDEX('[1]MCP-B2F-SEAF.Z9'!Q:Q,MATCH("FROM LV-MSB*",'[1]MCP-B2F-SEAF.Z9'!$G:$G,0))</f>
        <v>4x(1Cx50) Cu/Mica/XLPE/LSZH</v>
      </c>
      <c r="R27" s="101" t="str">
        <f>INDEX('[1]MCP-B2F-SEAF.Z9'!R:R,MATCH("FROM LV-MSB*",'[1]MCP-B2F-SEAF.Z9'!$G:$G,0))</f>
        <v>(1Cx25) Cu/PVC</v>
      </c>
      <c r="S27" s="99" t="str">
        <f>INDEX('[1]MCP-B2F-SEAF.Z9'!S:S,MATCH("FROM LV-MSB*",'[1]MCP-B2F-SEAF.Z9'!$G:$G,0))</f>
        <v>IN CABLE TRAY</v>
      </c>
      <c r="T27" s="201" t="s">
        <v>6</v>
      </c>
      <c r="U27" s="148"/>
      <c r="V27" s="147"/>
    </row>
    <row r="28" spans="1:22" s="143" customFormat="1" ht="36.950000000000003" customHeight="1" x14ac:dyDescent="0.25">
      <c r="A28" s="5"/>
      <c r="B28" s="6"/>
      <c r="C28" s="6"/>
      <c r="D28" s="13"/>
      <c r="E28" s="104" t="s">
        <v>268</v>
      </c>
      <c r="F28" s="97" t="s">
        <v>269</v>
      </c>
      <c r="G28" s="98" t="s">
        <v>270</v>
      </c>
      <c r="H28" s="99">
        <f>INDEX('[1]MCP-B1F-FAF.Z1'!H:H,MATCH("TỔNG CÔNG SUẤT TÍNH TOÁN*",'[1]MCP-B1F-FAF.Z1'!$G:$G,0))</f>
        <v>61.14</v>
      </c>
      <c r="I28" s="99">
        <f>INDEX('[1]MCP-B1F-FAF.Z1'!I:I,MATCH("TỔNG CÔNG SUẤT TÍNH TOÁN*",'[1]MCP-B1F-FAF.Z1'!$G:$G,0))</f>
        <v>20.63</v>
      </c>
      <c r="J28" s="99">
        <f>INDEX('[1]MCP-B1F-FAF.Z1'!J:J,MATCH("TỔNG CÔNG SUẤT TÍNH TOÁN*",'[1]MCP-B1F-FAF.Z1'!$G:$G,0))</f>
        <v>20.5</v>
      </c>
      <c r="K28" s="99">
        <f>INDEX('[1]MCP-B1F-FAF.Z1'!K:K,MATCH("TỔNG CÔNG SUẤT TÍNH TOÁN*",'[1]MCP-B1F-FAF.Z1'!$G:$G,0))</f>
        <v>20</v>
      </c>
      <c r="L28" s="99">
        <f t="shared" si="13"/>
        <v>93.77</v>
      </c>
      <c r="M28" s="100" t="str">
        <f>INDEX('[1]MCP-B1F-FAF.Z1'!M:M,MATCH("FROM LV-MSB*",'[1]MCP-B1F-FAF.Z1'!$G:$G,0))</f>
        <v>MCCB</v>
      </c>
      <c r="N28" s="101" t="str">
        <f>INDEX('[1]MCP-B1F-FAF.Z1'!N:N,MATCH("FROM LV-MSB*",'[1]MCP-B1F-FAF.Z1'!$G:$G,0))</f>
        <v>3P</v>
      </c>
      <c r="O28" s="101" t="str">
        <f>INDEX('[1]MCP-B1F-FAF.Z1'!O:O,MATCH("FROM LV-MSB*",'[1]MCP-B1F-FAF.Z1'!$G:$G,0))</f>
        <v>125A</v>
      </c>
      <c r="P28" s="102" t="str">
        <f>INDEX('[1]MCP-B1F-FAF.Z1'!P:P,MATCH("FROM LV-MSB*",'[1]MCP-B1F-FAF.Z1'!$G:$G,0))</f>
        <v>25kA</v>
      </c>
      <c r="Q28" s="103" t="str">
        <f>INDEX('[1]MCP-B1F-FAF.Z1'!Q:Q,MATCH("FROM LV-MSB*",'[1]MCP-B1F-FAF.Z1'!$G:$G,0))</f>
        <v>4x(1Cx50) Cu/Mica/XLPE/LSZH</v>
      </c>
      <c r="R28" s="101" t="str">
        <f>INDEX('[1]MCP-B1F-FAF.Z1'!R:R,MATCH("FROM LV-MSB*",'[1]MCP-B1F-FAF.Z1'!$G:$G,0))</f>
        <v>(1Cx25) Cu/PVC</v>
      </c>
      <c r="S28" s="99" t="str">
        <f>INDEX('[1]MCP-B1F-FAF.Z1'!S:S,MATCH("FROM LV-MSB*",'[1]MCP-B1F-FAF.Z1'!$G:$G,0))</f>
        <v>IN CABLE TRAY</v>
      </c>
      <c r="T28" s="201" t="s">
        <v>6</v>
      </c>
      <c r="U28" s="148"/>
      <c r="V28" s="147"/>
    </row>
    <row r="29" spans="1:22" s="143" customFormat="1" ht="36.75" customHeight="1" x14ac:dyDescent="0.25">
      <c r="A29" s="5"/>
      <c r="B29" s="6"/>
      <c r="C29" s="6"/>
      <c r="D29" s="13"/>
      <c r="E29" s="105"/>
      <c r="F29" s="97"/>
      <c r="G29" s="98"/>
      <c r="H29" s="99"/>
      <c r="I29" s="99"/>
      <c r="J29" s="99"/>
      <c r="K29" s="101"/>
      <c r="L29" s="106"/>
      <c r="M29" s="107"/>
      <c r="N29" s="107"/>
      <c r="O29" s="107"/>
      <c r="P29" s="107"/>
      <c r="Q29" s="107"/>
      <c r="R29" s="107"/>
      <c r="S29" s="108"/>
      <c r="T29" s="144"/>
      <c r="U29" s="149"/>
    </row>
    <row r="30" spans="1:22" s="152" customFormat="1" ht="34.15" customHeight="1" x14ac:dyDescent="0.25">
      <c r="A30" s="7"/>
      <c r="B30" s="6" t="str">
        <f t="shared" ref="B30:B33" si="14">IF(D30="","",$B$5)</f>
        <v/>
      </c>
      <c r="C30" s="6" t="e">
        <f>IF(D30="","",INDEX($C$5:$C$165,1)-(ROW()-6)*1000)+1000</f>
        <v>#VALUE!</v>
      </c>
      <c r="D30" s="79"/>
      <c r="E30" s="109"/>
      <c r="F30" s="110" t="s">
        <v>202</v>
      </c>
      <c r="G30" s="111"/>
      <c r="H30" s="112">
        <v>1</v>
      </c>
      <c r="I30" s="112">
        <v>2</v>
      </c>
      <c r="J30" s="112">
        <v>3</v>
      </c>
      <c r="K30" s="113">
        <v>4</v>
      </c>
      <c r="L30" s="114"/>
      <c r="M30" s="128" t="s">
        <v>206</v>
      </c>
      <c r="N30" s="128"/>
      <c r="O30" s="128"/>
      <c r="P30" s="128"/>
      <c r="Q30" s="128"/>
      <c r="R30" s="128"/>
      <c r="S30" s="115"/>
      <c r="T30" s="150"/>
      <c r="U30" s="151"/>
      <c r="V30" s="151"/>
    </row>
    <row r="31" spans="1:22" s="152" customFormat="1" ht="34.15" customHeight="1" x14ac:dyDescent="0.25">
      <c r="A31" s="7"/>
      <c r="B31" s="6" t="str">
        <f t="shared" si="14"/>
        <v/>
      </c>
      <c r="C31" s="6" t="e">
        <f>IF(D31="","",INDEX($C$5:$C$165,1)-(ROW()-6)*1000)+1000</f>
        <v>#VALUE!</v>
      </c>
      <c r="D31" s="80"/>
      <c r="E31" s="109"/>
      <c r="F31" s="110" t="s">
        <v>203</v>
      </c>
      <c r="G31" s="111"/>
      <c r="H31" s="112">
        <v>0.8</v>
      </c>
      <c r="I31" s="113"/>
      <c r="J31" s="116"/>
      <c r="K31" s="116"/>
      <c r="L31" s="114"/>
      <c r="M31" s="128"/>
      <c r="N31" s="128"/>
      <c r="O31" s="128"/>
      <c r="P31" s="128"/>
      <c r="Q31" s="128"/>
      <c r="R31" s="128"/>
      <c r="S31" s="115"/>
      <c r="T31" s="150"/>
      <c r="U31" s="151"/>
      <c r="V31" s="151"/>
    </row>
    <row r="32" spans="1:22" s="152" customFormat="1" ht="34.15" customHeight="1" x14ac:dyDescent="0.25">
      <c r="A32" s="7"/>
      <c r="B32" s="6" t="str">
        <f t="shared" si="14"/>
        <v/>
      </c>
      <c r="C32" s="6" t="e">
        <f>IF(D32="","",INDEX($C$5:$C$165,1)-(ROW()-6)*1000)+1000</f>
        <v>#VALUE!</v>
      </c>
      <c r="D32" s="80"/>
      <c r="E32" s="109"/>
      <c r="F32" s="110" t="s">
        <v>204</v>
      </c>
      <c r="G32" s="111"/>
      <c r="H32" s="112">
        <f>H30*H31</f>
        <v>0.8</v>
      </c>
      <c r="I32" s="112">
        <f>I30*H31</f>
        <v>1.6</v>
      </c>
      <c r="J32" s="112">
        <f>J30*H31</f>
        <v>2.4000000000000004</v>
      </c>
      <c r="K32" s="113">
        <f>K30*H31</f>
        <v>3.2</v>
      </c>
      <c r="L32" s="114"/>
      <c r="M32" s="128"/>
      <c r="N32" s="128"/>
      <c r="O32" s="128"/>
      <c r="P32" s="128"/>
      <c r="Q32" s="128"/>
      <c r="R32" s="128"/>
      <c r="S32" s="115"/>
      <c r="T32" s="150"/>
      <c r="U32" s="151"/>
      <c r="V32" s="151"/>
    </row>
    <row r="33" spans="1:22" s="152" customFormat="1" ht="34.15" customHeight="1" x14ac:dyDescent="0.25">
      <c r="A33" s="7"/>
      <c r="B33" s="6" t="str">
        <f t="shared" si="14"/>
        <v/>
      </c>
      <c r="C33" s="6" t="e">
        <f>IF(D33="","",INDEX($C$5:$C$165,1)-(ROW()-6)*1000)+1000</f>
        <v>#VALUE!</v>
      </c>
      <c r="D33" s="80"/>
      <c r="E33" s="109"/>
      <c r="F33" s="110" t="s">
        <v>205</v>
      </c>
      <c r="G33" s="111"/>
      <c r="H33" s="112">
        <f>ROUND(MAX(I32:K32)/0.22,2)</f>
        <v>14.55</v>
      </c>
      <c r="I33" s="113"/>
      <c r="J33" s="116"/>
      <c r="K33" s="116"/>
      <c r="L33" s="117"/>
      <c r="M33" s="118"/>
      <c r="N33" s="118"/>
      <c r="O33" s="118"/>
      <c r="P33" s="118"/>
      <c r="Q33" s="118"/>
      <c r="R33" s="118"/>
      <c r="S33" s="119"/>
      <c r="T33" s="150"/>
      <c r="U33" s="151"/>
      <c r="V33" s="151"/>
    </row>
    <row r="34" spans="1:22" s="152" customFormat="1" ht="34.15" customHeight="1" x14ac:dyDescent="0.25">
      <c r="A34" s="7"/>
      <c r="B34" s="6"/>
      <c r="C34" s="6"/>
      <c r="D34" s="78"/>
      <c r="E34" s="109"/>
      <c r="F34" s="120"/>
      <c r="G34" s="121" t="s">
        <v>24</v>
      </c>
      <c r="H34" s="121"/>
      <c r="I34" s="121"/>
      <c r="J34" s="121"/>
      <c r="K34" s="121"/>
      <c r="L34" s="121"/>
      <c r="M34" s="121" t="s">
        <v>25</v>
      </c>
      <c r="N34" s="121"/>
      <c r="O34" s="121"/>
      <c r="P34" s="121"/>
      <c r="Q34" s="121" t="s">
        <v>26</v>
      </c>
      <c r="R34" s="121"/>
      <c r="S34" s="122" t="s">
        <v>27</v>
      </c>
      <c r="T34" s="153"/>
      <c r="U34" s="151"/>
      <c r="V34" s="151"/>
    </row>
    <row r="35" spans="1:22" s="152" customFormat="1" ht="34.15" customHeight="1" x14ac:dyDescent="0.25">
      <c r="A35" s="7"/>
      <c r="B35" s="6" t="str">
        <f t="shared" ref="B35" si="15">IF(D35="","",$B$5)</f>
        <v/>
      </c>
      <c r="C35" s="6" t="str">
        <f>IF(D35="","",INDEX($C$5:$C$165,1)-(ROW()-6)*1000)</f>
        <v/>
      </c>
      <c r="D35" s="78"/>
      <c r="E35" s="109"/>
      <c r="F35" s="120"/>
      <c r="G35" s="123" t="str">
        <f>"FROM " &amp;T3</f>
        <v>FROM LV-MSB</v>
      </c>
      <c r="H35" s="124"/>
      <c r="I35" s="124"/>
      <c r="J35" s="124"/>
      <c r="K35" s="124"/>
      <c r="L35" s="125"/>
      <c r="M35" s="126" t="s">
        <v>20</v>
      </c>
      <c r="N35" s="126" t="s">
        <v>21</v>
      </c>
      <c r="O35" s="126">
        <v>32</v>
      </c>
      <c r="P35" s="126" t="s">
        <v>95</v>
      </c>
      <c r="Q35" s="126" t="s">
        <v>185</v>
      </c>
      <c r="R35" s="126" t="s">
        <v>186</v>
      </c>
      <c r="S35" s="126" t="s">
        <v>32</v>
      </c>
      <c r="T35" s="154"/>
      <c r="U35" s="151"/>
      <c r="V35" s="151"/>
    </row>
    <row r="36" spans="1:22" s="163" customFormat="1" ht="19.5" customHeight="1" x14ac:dyDescent="0.25">
      <c r="A36" s="8"/>
      <c r="B36" s="9" t="str">
        <f>$B$30</f>
        <v/>
      </c>
      <c r="C36" s="9" t="e">
        <f>C30-0.3931</f>
        <v>#VALUE!</v>
      </c>
      <c r="D36" s="10" t="s">
        <v>33</v>
      </c>
      <c r="E36" s="155"/>
      <c r="F36" s="156"/>
      <c r="G36" s="157"/>
      <c r="H36" s="158"/>
      <c r="I36" s="158"/>
      <c r="J36" s="158"/>
      <c r="K36" s="158"/>
      <c r="L36" s="158"/>
      <c r="M36" s="159"/>
      <c r="N36" s="159"/>
      <c r="O36" s="159"/>
      <c r="P36" s="159"/>
      <c r="Q36" s="160">
        <f>M29</f>
        <v>0</v>
      </c>
      <c r="R36" s="159"/>
      <c r="S36" s="159"/>
      <c r="T36" s="161"/>
      <c r="U36" s="162"/>
      <c r="V36" s="162"/>
    </row>
  </sheetData>
  <sheetProtection formatCells="0" formatColumns="0" formatRows="0" insertRows="0" insertHyperlinks="0" deleteRows="0" sort="0" autoFilter="0" pivotTables="0"/>
  <mergeCells count="16">
    <mergeCell ref="T4:T5"/>
    <mergeCell ref="S4:S5"/>
    <mergeCell ref="M30:S33"/>
    <mergeCell ref="G35:L35"/>
    <mergeCell ref="G34:L34"/>
    <mergeCell ref="M34:P34"/>
    <mergeCell ref="Q34:R34"/>
    <mergeCell ref="H4:K4"/>
    <mergeCell ref="L4:L5"/>
    <mergeCell ref="M4:P4"/>
    <mergeCell ref="Q4:R4"/>
    <mergeCell ref="A2:A3"/>
    <mergeCell ref="B2:C2"/>
    <mergeCell ref="E4:E5"/>
    <mergeCell ref="F4:F5"/>
    <mergeCell ref="F3:K3"/>
  </mergeCells>
  <phoneticPr fontId="31" type="noConversion"/>
  <conditionalFormatting sqref="T1:T1048576">
    <cfRule type="cellIs" dxfId="17" priority="1" operator="equal">
      <formula>"BMS"</formula>
    </cfRule>
    <cfRule type="cellIs" dxfId="16" priority="2" operator="equal">
      <formula>"MCB"</formula>
    </cfRule>
    <cfRule type="cellIs" dxfId="15" priority="3" operator="equal">
      <formula>"RCD"</formula>
    </cfRule>
    <cfRule type="cellIs" dxfId="14" priority="4" operator="equal">
      <formula>"SPC"</formula>
    </cfRule>
  </conditionalFormatting>
  <dataValidations count="8">
    <dataValidation type="list" allowBlank="1" showInputMessage="1" showErrorMessage="1" sqref="P35" xr:uid="{8F434052-8D27-4E5C-9115-1400C4A2CCF6}">
      <formula1>Cb_Icu</formula1>
    </dataValidation>
    <dataValidation type="list" allowBlank="1" showInputMessage="1" showErrorMessage="1" sqref="O35" xr:uid="{EC90A6C7-E78F-494A-A9BF-C4E8621DB985}">
      <formula1>Cb_In</formula1>
    </dataValidation>
    <dataValidation type="list" allowBlank="1" showInputMessage="1" showErrorMessage="1" sqref="N35" xr:uid="{EF095F5C-6AB3-4189-8848-D923C569D895}">
      <formula1>CbPole</formula1>
    </dataValidation>
    <dataValidation type="list" allowBlank="1" showInputMessage="1" showErrorMessage="1" sqref="M35" xr:uid="{CB371AFB-0BAF-427D-A99E-9E3BD6A12B54}">
      <formula1>CbType</formula1>
    </dataValidation>
    <dataValidation type="list" allowBlank="1" showInputMessage="1" showErrorMessage="1" sqref="T2" xr:uid="{021661A7-1204-4F36-B174-5C203EB412C7}">
      <formula1>SL</formula1>
    </dataValidation>
    <dataValidation type="list" allowBlank="1" showInputMessage="1" showErrorMessage="1" sqref="T3" xr:uid="{70B0E3AA-BDB5-42AF-A789-360DE0010980}">
      <formula1>INDIRECT("Table17[ListPanel]")</formula1>
    </dataValidation>
    <dataValidation type="list" allowBlank="1" showInputMessage="1" showErrorMessage="1" sqref="D6:D29 T29" xr:uid="{DCB0C8E3-6BB6-4199-818C-B08550AAD3F4}">
      <formula1>List_block</formula1>
    </dataValidation>
    <dataValidation type="list" allowBlank="1" showInputMessage="1" showErrorMessage="1" sqref="T6:T28" xr:uid="{0981CD82-C04B-4CB0-9CAA-A98B8EFC2A9C}">
      <formula1>ListBlock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17" fitToHeight="0" orientation="landscape" blackAndWhite="1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CBAB-C120-48AB-8273-B5D2DB6B3D2A}">
  <sheetPr codeName="Sheet7">
    <pageSetUpPr fitToPage="1"/>
  </sheetPr>
  <dimension ref="A1:AQ18"/>
  <sheetViews>
    <sheetView showGridLines="0" topLeftCell="R1" zoomScale="70" zoomScaleNormal="70" zoomScaleSheetLayoutView="70" workbookViewId="0">
      <selection activeCell="T6" sqref="T6"/>
    </sheetView>
  </sheetViews>
  <sheetFormatPr defaultRowHeight="15" x14ac:dyDescent="0.25"/>
  <cols>
    <col min="1" max="1" width="12.7109375" customWidth="1"/>
    <col min="2" max="2" width="31.28515625" customWidth="1"/>
    <col min="3" max="3" width="20.5703125" customWidth="1"/>
    <col min="4" max="4" width="25.42578125" customWidth="1"/>
    <col min="5" max="5" width="23.42578125" style="164" customWidth="1"/>
    <col min="6" max="6" width="87.7109375" style="164" customWidth="1"/>
    <col min="7" max="7" width="53.85546875" style="164" hidden="1" customWidth="1"/>
    <col min="8" max="8" width="11.7109375" style="164" customWidth="1"/>
    <col min="9" max="9" width="9" style="164" customWidth="1"/>
    <col min="10" max="10" width="11.140625" style="164" customWidth="1"/>
    <col min="11" max="11" width="13.85546875" style="164" bestFit="1" customWidth="1"/>
    <col min="12" max="12" width="13.5703125" style="164" bestFit="1" customWidth="1"/>
    <col min="13" max="16" width="14.7109375" style="164" customWidth="1"/>
    <col min="17" max="17" width="37.85546875" style="164" customWidth="1"/>
    <col min="18" max="18" width="31.7109375" style="164" customWidth="1"/>
    <col min="19" max="19" width="30.7109375" style="164" customWidth="1"/>
    <col min="20" max="20" width="17.42578125" style="164" customWidth="1"/>
    <col min="21" max="21" width="17.5703125" style="164" customWidth="1"/>
    <col min="22" max="22" width="12.85546875" style="164" customWidth="1"/>
    <col min="23" max="23" width="29.140625" style="164" customWidth="1"/>
    <col min="24" max="24" width="46.28515625" style="164" customWidth="1"/>
    <col min="25" max="25" width="29.28515625" style="164" bestFit="1" customWidth="1"/>
    <col min="26" max="26" width="33.5703125" style="164" bestFit="1" customWidth="1"/>
    <col min="27" max="27" width="33.140625" style="164" bestFit="1" customWidth="1"/>
    <col min="28" max="28" width="23.5703125" style="164" bestFit="1" customWidth="1"/>
    <col min="29" max="29" width="36.85546875" style="164" bestFit="1" customWidth="1"/>
    <col min="30" max="31" width="9.140625" style="164"/>
    <col min="32" max="32" width="29.85546875" style="164" customWidth="1"/>
    <col min="33" max="33" width="52.140625" style="164" bestFit="1" customWidth="1"/>
    <col min="34" max="34" width="16.42578125" style="164" bestFit="1" customWidth="1"/>
    <col min="35" max="35" width="17.85546875" style="164" bestFit="1" customWidth="1"/>
    <col min="36" max="36" width="16.42578125" style="164" bestFit="1" customWidth="1"/>
    <col min="37" max="37" width="12" style="164" bestFit="1" customWidth="1"/>
    <col min="38" max="38" width="22.85546875" style="164" bestFit="1" customWidth="1"/>
    <col min="39" max="39" width="11.5703125" style="164" bestFit="1" customWidth="1"/>
    <col min="40" max="40" width="12.5703125" style="164" bestFit="1" customWidth="1"/>
    <col min="41" max="41" width="24.140625" style="164" customWidth="1"/>
    <col min="42" max="42" width="19.28515625" style="164" customWidth="1"/>
    <col min="43" max="16384" width="9.140625" style="164"/>
  </cols>
  <sheetData>
    <row r="1" spans="1:43" s="142" customFormat="1" ht="45.75" customHeight="1" thickBot="1" x14ac:dyDescent="0.3">
      <c r="A1" s="1" t="s">
        <v>143</v>
      </c>
      <c r="B1" s="1"/>
      <c r="C1" s="1"/>
      <c r="D1" s="82"/>
      <c r="E1" s="129" t="s">
        <v>195</v>
      </c>
      <c r="F1" s="88" t="str" cm="1">
        <f t="array" aca="1" ref="F1" ca="1">RIGHT(CELL("filename", A1), LEN(CELL("filename", A1)) - FIND("]", CELL("filename", A1)))</f>
        <v>MCP-B2F-FAF.Z1</v>
      </c>
      <c r="G1" s="89"/>
      <c r="H1" s="133"/>
      <c r="I1" s="134"/>
      <c r="J1" s="130"/>
      <c r="K1" s="131"/>
      <c r="L1" s="131"/>
      <c r="M1" s="131"/>
      <c r="N1" s="131"/>
      <c r="O1" s="131"/>
      <c r="P1" s="131"/>
      <c r="Q1" s="90"/>
      <c r="R1" s="90"/>
      <c r="S1" s="91"/>
      <c r="T1" s="186" t="s">
        <v>162</v>
      </c>
      <c r="U1" s="187" t="s">
        <v>163</v>
      </c>
      <c r="V1" s="187" t="s">
        <v>164</v>
      </c>
      <c r="W1" s="187" t="s">
        <v>165</v>
      </c>
      <c r="X1" s="187" t="s">
        <v>149</v>
      </c>
      <c r="Y1" s="187" t="s">
        <v>150</v>
      </c>
      <c r="Z1" s="187" t="s">
        <v>151</v>
      </c>
      <c r="AA1" s="187" t="s">
        <v>152</v>
      </c>
      <c r="AB1" s="187" t="s">
        <v>153</v>
      </c>
      <c r="AC1" s="187" t="s">
        <v>14</v>
      </c>
      <c r="AD1" s="187" t="s">
        <v>3</v>
      </c>
      <c r="AE1" s="187" t="s">
        <v>15</v>
      </c>
      <c r="AF1" s="187" t="s">
        <v>147</v>
      </c>
      <c r="AG1" s="187" t="s">
        <v>161</v>
      </c>
      <c r="AH1" s="195" t="s">
        <v>154</v>
      </c>
      <c r="AI1" s="195" t="s">
        <v>155</v>
      </c>
      <c r="AJ1" s="195" t="s">
        <v>156</v>
      </c>
      <c r="AK1" s="195" t="s">
        <v>157</v>
      </c>
      <c r="AL1" s="195" t="s">
        <v>158</v>
      </c>
      <c r="AM1" s="195" t="s">
        <v>159</v>
      </c>
      <c r="AN1" s="195" t="s">
        <v>160</v>
      </c>
      <c r="AO1" s="195" t="s">
        <v>170</v>
      </c>
      <c r="AP1" s="196" t="s">
        <v>166</v>
      </c>
    </row>
    <row r="2" spans="1:43" s="142" customFormat="1" ht="39" customHeight="1" thickTop="1" x14ac:dyDescent="0.25">
      <c r="A2" s="84" t="s">
        <v>0</v>
      </c>
      <c r="B2" s="85" t="s">
        <v>1</v>
      </c>
      <c r="C2" s="86"/>
      <c r="D2" s="82"/>
      <c r="E2" s="138" t="s">
        <v>194</v>
      </c>
      <c r="F2" s="141" t="s">
        <v>210</v>
      </c>
      <c r="G2" s="92"/>
      <c r="H2" s="132"/>
      <c r="I2" s="135"/>
      <c r="J2" s="136"/>
      <c r="K2" s="136"/>
      <c r="L2" s="136"/>
      <c r="M2" s="136"/>
      <c r="N2" s="136"/>
      <c r="O2" s="136"/>
      <c r="P2" s="136"/>
      <c r="Q2" s="127"/>
      <c r="R2" s="127"/>
      <c r="S2" s="93"/>
      <c r="T2" s="197" t="s">
        <v>214</v>
      </c>
      <c r="U2" s="188" t="str">
        <f>M17</f>
        <v>MCCB</v>
      </c>
      <c r="V2" s="188" t="str">
        <f t="shared" ref="V2" si="0">N17</f>
        <v>3P</v>
      </c>
      <c r="W2" s="188" t="str">
        <f>UPPER(O17)</f>
        <v>32</v>
      </c>
      <c r="X2" s="188" t="str">
        <f t="shared" ref="X2" si="1">P17</f>
        <v>36kA</v>
      </c>
      <c r="Y2" s="188" t="str">
        <f>Q17</f>
        <v>4x(1Cx300) Cu/XLPE/PVC</v>
      </c>
      <c r="Z2" s="188" t="str">
        <f>R17</f>
        <v>(1Cx300) Cu/PVC</v>
      </c>
      <c r="AA2" s="188" t="str">
        <f>S17</f>
        <v>IN CABLE TRAY</v>
      </c>
      <c r="AB2" s="188">
        <f t="shared" ref="AB2:AE3" si="2">H13</f>
        <v>0.8</v>
      </c>
      <c r="AC2" s="188">
        <f t="shared" ref="AC2:AE2" si="3">I12</f>
        <v>2</v>
      </c>
      <c r="AD2" s="188">
        <f t="shared" si="3"/>
        <v>3</v>
      </c>
      <c r="AE2" s="188">
        <f t="shared" si="3"/>
        <v>4</v>
      </c>
      <c r="AF2" s="188">
        <f>H14</f>
        <v>0.8</v>
      </c>
      <c r="AG2" s="188" t="str">
        <f>M12</f>
        <v>GHI CHÚ: 
- Chạy thử nghiệm ver1</v>
      </c>
      <c r="AH2" s="189">
        <f>ROW(C17)</f>
        <v>17</v>
      </c>
      <c r="AI2" s="189" cm="1">
        <f t="array" ref="AI2">ROW(11:11)</f>
        <v>11</v>
      </c>
      <c r="AJ2" s="188" t="s">
        <v>172</v>
      </c>
      <c r="AK2" s="188" t="s">
        <v>171</v>
      </c>
      <c r="AL2" s="188" t="s">
        <v>174</v>
      </c>
      <c r="AM2" s="188" t="s">
        <v>5</v>
      </c>
      <c r="AN2" s="188" t="s">
        <v>148</v>
      </c>
      <c r="AO2" s="189">
        <v>3</v>
      </c>
      <c r="AP2" s="190" t="s">
        <v>167</v>
      </c>
    </row>
    <row r="3" spans="1:43" s="143" customFormat="1" ht="45" customHeight="1" thickBot="1" x14ac:dyDescent="0.3">
      <c r="A3" s="84"/>
      <c r="B3" s="2" t="s">
        <v>2</v>
      </c>
      <c r="C3" s="81" t="s">
        <v>3</v>
      </c>
      <c r="D3" s="83" t="s">
        <v>11</v>
      </c>
      <c r="E3" s="138" t="s">
        <v>211</v>
      </c>
      <c r="F3" s="139" t="s">
        <v>208</v>
      </c>
      <c r="G3" s="140"/>
      <c r="H3" s="140"/>
      <c r="I3" s="140"/>
      <c r="J3" s="140"/>
      <c r="K3" s="140"/>
      <c r="L3" s="137"/>
      <c r="M3" s="137"/>
      <c r="N3" s="137"/>
      <c r="O3" s="137"/>
      <c r="P3" s="137"/>
      <c r="Q3" s="94"/>
      <c r="R3" s="94"/>
      <c r="S3" s="95"/>
      <c r="T3" s="198" t="s">
        <v>146</v>
      </c>
      <c r="U3" s="191"/>
      <c r="V3" s="191"/>
      <c r="W3" s="191" t="str">
        <f>SUBSTITUTE(W2,"A","")&amp;"/5A"</f>
        <v>32/5A</v>
      </c>
      <c r="X3" s="191"/>
      <c r="Y3" s="191"/>
      <c r="Z3" s="191"/>
      <c r="AA3" s="191"/>
      <c r="AB3" s="192">
        <f t="shared" si="2"/>
        <v>0.8</v>
      </c>
      <c r="AC3" s="192">
        <f t="shared" si="2"/>
        <v>1.6</v>
      </c>
      <c r="AD3" s="192">
        <f t="shared" si="2"/>
        <v>2.4000000000000004</v>
      </c>
      <c r="AE3" s="192">
        <f t="shared" si="2"/>
        <v>3.2</v>
      </c>
      <c r="AF3" s="193">
        <f>H15</f>
        <v>14.55</v>
      </c>
      <c r="AG3" s="193"/>
      <c r="AH3" s="193"/>
      <c r="AI3" s="192"/>
      <c r="AJ3" s="193"/>
      <c r="AK3" s="193"/>
      <c r="AL3" s="193"/>
      <c r="AM3" s="193"/>
      <c r="AN3" s="193"/>
      <c r="AO3" s="193" t="str" cm="1">
        <f t="array" ref="AO3">IF(SUMPRODUCT(COUNTIF(T6:T10, HasArrow)) &gt; 0, "Yes", "NO")</f>
        <v>Yes</v>
      </c>
      <c r="AP3" s="194" t="s">
        <v>168</v>
      </c>
      <c r="AQ3" s="142"/>
    </row>
    <row r="4" spans="1:43" s="143" customFormat="1" ht="54.75" customHeight="1" x14ac:dyDescent="0.25">
      <c r="A4" s="3"/>
      <c r="B4" s="14" t="e">
        <f>VLOOKUP($A$1,#REF!,2,0)</f>
        <v>#REF!</v>
      </c>
      <c r="C4" s="3" t="e">
        <f>VLOOKUP(A1,#REF!,3,0)</f>
        <v>#REF!</v>
      </c>
      <c r="D4" s="74">
        <f>J1</f>
        <v>0</v>
      </c>
      <c r="E4" s="165" t="s">
        <v>207</v>
      </c>
      <c r="F4" s="165" t="s">
        <v>201</v>
      </c>
      <c r="G4" s="166"/>
      <c r="H4" s="167" t="s">
        <v>12</v>
      </c>
      <c r="I4" s="168"/>
      <c r="J4" s="168"/>
      <c r="K4" s="169"/>
      <c r="L4" s="170" t="s">
        <v>197</v>
      </c>
      <c r="M4" s="171" t="s">
        <v>198</v>
      </c>
      <c r="N4" s="172"/>
      <c r="O4" s="172"/>
      <c r="P4" s="172"/>
      <c r="Q4" s="173" t="s">
        <v>199</v>
      </c>
      <c r="R4" s="174"/>
      <c r="S4" s="174" t="s">
        <v>200</v>
      </c>
      <c r="T4" s="202" t="s">
        <v>216</v>
      </c>
      <c r="U4" s="213" t="s">
        <v>285</v>
      </c>
      <c r="V4" s="215" t="s">
        <v>286</v>
      </c>
      <c r="W4" s="213" t="s">
        <v>287</v>
      </c>
      <c r="X4" s="213" t="s">
        <v>288</v>
      </c>
    </row>
    <row r="5" spans="1:43" s="143" customFormat="1" ht="57.75" customHeight="1" thickBot="1" x14ac:dyDescent="0.3">
      <c r="A5" s="4"/>
      <c r="B5" s="4" t="str">
        <f>IF(D6="","",B4)</f>
        <v/>
      </c>
      <c r="C5" s="4" t="str">
        <f>IF(D6="","",C4)</f>
        <v/>
      </c>
      <c r="D5" s="75" t="s">
        <v>145</v>
      </c>
      <c r="E5" s="175"/>
      <c r="F5" s="175"/>
      <c r="G5" s="176"/>
      <c r="H5" s="177" t="s">
        <v>13</v>
      </c>
      <c r="I5" s="177" t="s">
        <v>14</v>
      </c>
      <c r="J5" s="177" t="s">
        <v>3</v>
      </c>
      <c r="K5" s="177" t="s">
        <v>15</v>
      </c>
      <c r="L5" s="178"/>
      <c r="M5" s="179" t="s">
        <v>16</v>
      </c>
      <c r="N5" s="179" t="s">
        <v>17</v>
      </c>
      <c r="O5" s="180" t="s">
        <v>196</v>
      </c>
      <c r="P5" s="179" t="s">
        <v>18</v>
      </c>
      <c r="Q5" s="181" t="s">
        <v>19</v>
      </c>
      <c r="R5" s="179" t="s">
        <v>212</v>
      </c>
      <c r="S5" s="174"/>
      <c r="T5" s="203"/>
      <c r="U5" s="214"/>
      <c r="V5" s="216"/>
      <c r="W5" s="214"/>
      <c r="X5" s="214"/>
    </row>
    <row r="6" spans="1:43" s="143" customFormat="1" ht="36.950000000000003" customHeight="1" thickTop="1" x14ac:dyDescent="0.25">
      <c r="A6" s="5"/>
      <c r="B6" s="6"/>
      <c r="C6" s="6"/>
      <c r="D6" s="13"/>
      <c r="E6" s="204" t="s">
        <v>271</v>
      </c>
      <c r="F6" s="205" t="s">
        <v>272</v>
      </c>
      <c r="G6" s="205" t="s">
        <v>273</v>
      </c>
      <c r="H6" s="206">
        <f t="shared" ref="H6:H7" si="4">ROUND(SUM(I6:K6),2)</f>
        <v>117.65</v>
      </c>
      <c r="I6" s="217">
        <f>IF(V6="1",U6,IF(V6="4",U6/3,""))</f>
        <v>39.215686274509807</v>
      </c>
      <c r="J6" s="217">
        <f>IF(V6="2",U6,IF(V6="4",U6/3,""))</f>
        <v>39.215686274509807</v>
      </c>
      <c r="K6" s="217">
        <f>IF(V6="3",U6,IF(V6="4",U6/3,""))</f>
        <v>39.215686274509807</v>
      </c>
      <c r="L6" s="206">
        <f>ROUND((MAX(I6,J6,K6)/0.22),2)</f>
        <v>178.25</v>
      </c>
      <c r="M6" s="207" t="s">
        <v>20</v>
      </c>
      <c r="N6" s="221" t="s">
        <v>21</v>
      </c>
      <c r="O6" s="222" t="s">
        <v>85</v>
      </c>
      <c r="P6" s="207" t="s">
        <v>23</v>
      </c>
      <c r="Q6" s="209" t="s">
        <v>293</v>
      </c>
      <c r="R6" s="210" t="s">
        <v>294</v>
      </c>
      <c r="S6" s="211" t="s">
        <v>32</v>
      </c>
      <c r="T6" s="201" t="s">
        <v>8</v>
      </c>
      <c r="U6" s="218">
        <f>100/0.85</f>
        <v>117.64705882352942</v>
      </c>
      <c r="V6" s="219" t="s">
        <v>292</v>
      </c>
      <c r="W6" s="220" t="e" cm="1">
        <f t="array" ref="W6">[2]!KIEMTRACAP(O6,Q6,R6,Cb_In)</f>
        <v>#VALUE!</v>
      </c>
      <c r="X6" s="220" t="str" cm="1">
        <f t="array" ref="X6">[2]!KiemTraOng3(Q6,R6,DKC,DKO,35,1)</f>
        <v>3x6 + 1x6  @D32 (27.2%)</v>
      </c>
    </row>
    <row r="7" spans="1:43" s="143" customFormat="1" ht="36.950000000000003" customHeight="1" x14ac:dyDescent="0.25">
      <c r="A7" s="5"/>
      <c r="B7" s="6"/>
      <c r="C7" s="6"/>
      <c r="D7" s="13"/>
      <c r="E7" s="204" t="s">
        <v>276</v>
      </c>
      <c r="F7" s="205" t="s">
        <v>272</v>
      </c>
      <c r="G7" s="205" t="s">
        <v>273</v>
      </c>
      <c r="H7" s="206">
        <f t="shared" si="4"/>
        <v>27.1</v>
      </c>
      <c r="I7" s="217">
        <f t="shared" ref="I7:I8" si="5">IF(V7="1",U7,IF(V7="4",U7/3,""))</f>
        <v>9.0333333333333332</v>
      </c>
      <c r="J7" s="217">
        <f t="shared" ref="J7:J8" si="6">IF(V7="2",U7,IF(V7="4",U7/3,""))</f>
        <v>9.0333333333333332</v>
      </c>
      <c r="K7" s="217">
        <f t="shared" ref="K7:K8" si="7">IF(V7="3",U7,IF(V7="4",U7/3,""))</f>
        <v>9.0333333333333332</v>
      </c>
      <c r="L7" s="206">
        <f>ROUND((MAX(I7,J7,K7)/0.22),2)</f>
        <v>41.06</v>
      </c>
      <c r="M7" s="207" t="s">
        <v>20</v>
      </c>
      <c r="N7" s="207" t="s">
        <v>21</v>
      </c>
      <c r="O7" s="208" t="s">
        <v>85</v>
      </c>
      <c r="P7" s="207" t="s">
        <v>23</v>
      </c>
      <c r="Q7" s="209" t="s">
        <v>274</v>
      </c>
      <c r="R7" s="210" t="s">
        <v>275</v>
      </c>
      <c r="S7" s="211" t="s">
        <v>32</v>
      </c>
      <c r="T7" s="201" t="s">
        <v>8</v>
      </c>
      <c r="U7" s="218">
        <v>27.1</v>
      </c>
      <c r="V7" s="219" t="s">
        <v>292</v>
      </c>
      <c r="W7" s="220" t="s">
        <v>290</v>
      </c>
      <c r="X7" s="220" t="s">
        <v>291</v>
      </c>
    </row>
    <row r="8" spans="1:43" s="143" customFormat="1" ht="36.950000000000003" customHeight="1" x14ac:dyDescent="0.25">
      <c r="A8" s="5"/>
      <c r="B8" s="6"/>
      <c r="C8" s="6"/>
      <c r="D8" s="13"/>
      <c r="E8" s="204" t="s">
        <v>277</v>
      </c>
      <c r="F8" s="212" t="s">
        <v>278</v>
      </c>
      <c r="G8" s="212" t="s">
        <v>279</v>
      </c>
      <c r="H8" s="206">
        <f>ROUND(SUM(I8:K8),2)</f>
        <v>27.1</v>
      </c>
      <c r="I8" s="217">
        <f t="shared" si="5"/>
        <v>9.0333333333333332</v>
      </c>
      <c r="J8" s="217">
        <f t="shared" si="6"/>
        <v>9.0333333333333332</v>
      </c>
      <c r="K8" s="217">
        <f t="shared" si="7"/>
        <v>9.0333333333333332</v>
      </c>
      <c r="L8" s="206">
        <f>ROUND((MAX(I8,J8,K8)/0.22),2)</f>
        <v>41.06</v>
      </c>
      <c r="M8" s="207" t="s">
        <v>6</v>
      </c>
      <c r="N8" s="207" t="s">
        <v>34</v>
      </c>
      <c r="O8" s="208" t="s">
        <v>35</v>
      </c>
      <c r="P8" s="207" t="s">
        <v>36</v>
      </c>
      <c r="Q8" s="209" t="s">
        <v>280</v>
      </c>
      <c r="R8" s="211" t="s">
        <v>281</v>
      </c>
      <c r="S8" s="211" t="s">
        <v>282</v>
      </c>
      <c r="T8" s="201" t="s">
        <v>6</v>
      </c>
      <c r="U8" s="218">
        <v>27.1</v>
      </c>
      <c r="V8" s="219" t="s">
        <v>292</v>
      </c>
      <c r="W8" s="220" t="s">
        <v>290</v>
      </c>
      <c r="X8" s="220" t="s">
        <v>291</v>
      </c>
    </row>
    <row r="9" spans="1:43" s="143" customFormat="1" ht="36.950000000000003" customHeight="1" x14ac:dyDescent="0.25">
      <c r="A9" s="5"/>
      <c r="B9" s="6"/>
      <c r="C9" s="6"/>
      <c r="D9" s="13"/>
      <c r="E9" s="204" t="s">
        <v>188</v>
      </c>
      <c r="F9" s="205" t="s">
        <v>283</v>
      </c>
      <c r="G9" s="212" t="s">
        <v>284</v>
      </c>
      <c r="H9" s="206" t="e">
        <f t="shared" ref="H9" si="8">ROUND(SUM(I9:K9),2)</f>
        <v>#DIV/0!</v>
      </c>
      <c r="I9" s="206"/>
      <c r="J9" s="206" t="e">
        <f>ROUND(U9/$V$3,2)</f>
        <v>#DIV/0!</v>
      </c>
      <c r="K9" s="206"/>
      <c r="L9" s="206" t="e">
        <f>ROUND((MAX(I9,J9,K9)/0.22),2)</f>
        <v>#DIV/0!</v>
      </c>
      <c r="M9" s="207" t="s">
        <v>6</v>
      </c>
      <c r="N9" s="207" t="s">
        <v>34</v>
      </c>
      <c r="O9" s="208" t="s">
        <v>35</v>
      </c>
      <c r="P9" s="207" t="s">
        <v>36</v>
      </c>
      <c r="Q9" s="207"/>
      <c r="R9" s="207"/>
      <c r="S9" s="207"/>
      <c r="T9" s="201" t="s">
        <v>6</v>
      </c>
      <c r="U9" s="218">
        <v>0.5</v>
      </c>
      <c r="V9" s="219" t="s">
        <v>289</v>
      </c>
      <c r="W9" s="220" t="s">
        <v>290</v>
      </c>
      <c r="X9" s="220" t="s">
        <v>291</v>
      </c>
    </row>
    <row r="10" spans="1:43" s="143" customFormat="1" ht="36.950000000000003" customHeight="1" x14ac:dyDescent="0.25">
      <c r="A10" s="5"/>
      <c r="B10" s="6"/>
      <c r="C10" s="6"/>
      <c r="D10" s="13"/>
      <c r="E10" s="104"/>
      <c r="F10" s="97"/>
      <c r="G10" s="98"/>
      <c r="H10" s="99"/>
      <c r="I10" s="99"/>
      <c r="J10" s="99"/>
      <c r="K10" s="99"/>
      <c r="L10" s="99"/>
      <c r="M10" s="100"/>
      <c r="N10" s="101"/>
      <c r="O10" s="101"/>
      <c r="P10" s="102"/>
      <c r="Q10" s="103"/>
      <c r="R10" s="101"/>
      <c r="S10" s="99"/>
      <c r="T10" s="201"/>
      <c r="U10" s="148"/>
      <c r="V10" s="147"/>
      <c r="W10" s="220" t="s">
        <v>290</v>
      </c>
      <c r="X10" s="220" t="s">
        <v>291</v>
      </c>
    </row>
    <row r="11" spans="1:43" s="143" customFormat="1" ht="36.75" customHeight="1" x14ac:dyDescent="0.25">
      <c r="A11" s="5"/>
      <c r="B11" s="6"/>
      <c r="C11" s="6"/>
      <c r="D11" s="13"/>
      <c r="E11" s="105"/>
      <c r="F11" s="97"/>
      <c r="G11" s="98"/>
      <c r="H11" s="99"/>
      <c r="I11" s="99"/>
      <c r="J11" s="99"/>
      <c r="K11" s="101"/>
      <c r="L11" s="106"/>
      <c r="M11" s="107"/>
      <c r="N11" s="107"/>
      <c r="O11" s="107"/>
      <c r="P11" s="107"/>
      <c r="Q11" s="107"/>
      <c r="R11" s="107"/>
      <c r="S11" s="108"/>
      <c r="T11" s="144"/>
      <c r="U11" s="149"/>
    </row>
    <row r="12" spans="1:43" s="152" customFormat="1" ht="34.15" customHeight="1" x14ac:dyDescent="0.25">
      <c r="A12" s="7"/>
      <c r="B12" s="6" t="str">
        <f t="shared" ref="B12:B15" si="9">IF(D12="","",$B$5)</f>
        <v/>
      </c>
      <c r="C12" s="6" t="e">
        <f>IF(D12="","",INDEX($C$5:$C$147,1)-(ROW()-6)*1000)+1000</f>
        <v>#VALUE!</v>
      </c>
      <c r="D12" s="79"/>
      <c r="E12" s="109"/>
      <c r="F12" s="110" t="s">
        <v>202</v>
      </c>
      <c r="G12" s="111"/>
      <c r="H12" s="112">
        <v>1</v>
      </c>
      <c r="I12" s="112">
        <v>2</v>
      </c>
      <c r="J12" s="112">
        <v>3</v>
      </c>
      <c r="K12" s="113">
        <v>4</v>
      </c>
      <c r="L12" s="114"/>
      <c r="M12" s="128" t="s">
        <v>206</v>
      </c>
      <c r="N12" s="128"/>
      <c r="O12" s="128"/>
      <c r="P12" s="128"/>
      <c r="Q12" s="128"/>
      <c r="R12" s="128"/>
      <c r="S12" s="115"/>
      <c r="T12" s="150"/>
      <c r="U12" s="151"/>
      <c r="V12" s="151"/>
    </row>
    <row r="13" spans="1:43" s="152" customFormat="1" ht="34.15" customHeight="1" x14ac:dyDescent="0.25">
      <c r="A13" s="7"/>
      <c r="B13" s="6" t="str">
        <f t="shared" si="9"/>
        <v/>
      </c>
      <c r="C13" s="6" t="e">
        <f>IF(D13="","",INDEX($C$5:$C$147,1)-(ROW()-6)*1000)+1000</f>
        <v>#VALUE!</v>
      </c>
      <c r="D13" s="80"/>
      <c r="E13" s="109"/>
      <c r="F13" s="110" t="s">
        <v>203</v>
      </c>
      <c r="G13" s="111"/>
      <c r="H13" s="112">
        <v>0.8</v>
      </c>
      <c r="I13" s="113"/>
      <c r="J13" s="116"/>
      <c r="K13" s="116"/>
      <c r="L13" s="114"/>
      <c r="M13" s="128"/>
      <c r="N13" s="128"/>
      <c r="O13" s="128"/>
      <c r="P13" s="128"/>
      <c r="Q13" s="128"/>
      <c r="R13" s="128"/>
      <c r="S13" s="115"/>
      <c r="T13" s="150"/>
      <c r="U13" s="151"/>
      <c r="V13" s="151"/>
    </row>
    <row r="14" spans="1:43" s="152" customFormat="1" ht="34.15" customHeight="1" x14ac:dyDescent="0.25">
      <c r="A14" s="7"/>
      <c r="B14" s="6" t="str">
        <f t="shared" si="9"/>
        <v/>
      </c>
      <c r="C14" s="6" t="e">
        <f>IF(D14="","",INDEX($C$5:$C$147,1)-(ROW()-6)*1000)+1000</f>
        <v>#VALUE!</v>
      </c>
      <c r="D14" s="80"/>
      <c r="E14" s="109"/>
      <c r="F14" s="110" t="s">
        <v>204</v>
      </c>
      <c r="G14" s="111"/>
      <c r="H14" s="112">
        <f>H12*H13</f>
        <v>0.8</v>
      </c>
      <c r="I14" s="112">
        <f>I12*H13</f>
        <v>1.6</v>
      </c>
      <c r="J14" s="112">
        <f>J12*H13</f>
        <v>2.4000000000000004</v>
      </c>
      <c r="K14" s="113">
        <f>K12*H13</f>
        <v>3.2</v>
      </c>
      <c r="L14" s="114"/>
      <c r="M14" s="128"/>
      <c r="N14" s="128"/>
      <c r="O14" s="128"/>
      <c r="P14" s="128"/>
      <c r="Q14" s="128"/>
      <c r="R14" s="128"/>
      <c r="S14" s="115"/>
      <c r="T14" s="150"/>
      <c r="U14" s="151"/>
      <c r="V14" s="151"/>
    </row>
    <row r="15" spans="1:43" s="152" customFormat="1" ht="34.15" customHeight="1" x14ac:dyDescent="0.25">
      <c r="A15" s="7"/>
      <c r="B15" s="6" t="str">
        <f t="shared" si="9"/>
        <v/>
      </c>
      <c r="C15" s="6" t="e">
        <f>IF(D15="","",INDEX($C$5:$C$147,1)-(ROW()-6)*1000)+1000</f>
        <v>#VALUE!</v>
      </c>
      <c r="D15" s="80"/>
      <c r="E15" s="109"/>
      <c r="F15" s="110" t="s">
        <v>205</v>
      </c>
      <c r="G15" s="111"/>
      <c r="H15" s="112">
        <f>ROUND(MAX(I14:K14)/0.22,2)</f>
        <v>14.55</v>
      </c>
      <c r="I15" s="113"/>
      <c r="J15" s="116"/>
      <c r="K15" s="116"/>
      <c r="L15" s="117"/>
      <c r="M15" s="118"/>
      <c r="N15" s="118"/>
      <c r="O15" s="118"/>
      <c r="P15" s="118"/>
      <c r="Q15" s="118"/>
      <c r="R15" s="118"/>
      <c r="S15" s="119"/>
      <c r="T15" s="150"/>
      <c r="U15" s="151"/>
      <c r="V15" s="151"/>
    </row>
    <row r="16" spans="1:43" s="152" customFormat="1" ht="34.15" customHeight="1" x14ac:dyDescent="0.25">
      <c r="A16" s="7"/>
      <c r="B16" s="6"/>
      <c r="C16" s="6"/>
      <c r="D16" s="78"/>
      <c r="E16" s="109"/>
      <c r="F16" s="120"/>
      <c r="G16" s="121" t="s">
        <v>24</v>
      </c>
      <c r="H16" s="121"/>
      <c r="I16" s="121"/>
      <c r="J16" s="121"/>
      <c r="K16" s="121"/>
      <c r="L16" s="121"/>
      <c r="M16" s="121" t="s">
        <v>25</v>
      </c>
      <c r="N16" s="121"/>
      <c r="O16" s="121"/>
      <c r="P16" s="121"/>
      <c r="Q16" s="121" t="s">
        <v>26</v>
      </c>
      <c r="R16" s="121"/>
      <c r="S16" s="122" t="s">
        <v>27</v>
      </c>
      <c r="T16" s="153"/>
      <c r="U16" s="151"/>
      <c r="V16" s="151"/>
    </row>
    <row r="17" spans="1:22" s="152" customFormat="1" ht="34.15" customHeight="1" x14ac:dyDescent="0.25">
      <c r="A17" s="7"/>
      <c r="B17" s="6" t="str">
        <f t="shared" ref="B17" si="10">IF(D17="","",$B$5)</f>
        <v/>
      </c>
      <c r="C17" s="6" t="str">
        <f>IF(D17="","",INDEX($C$5:$C$147,1)-(ROW()-6)*1000)</f>
        <v/>
      </c>
      <c r="D17" s="78"/>
      <c r="E17" s="109"/>
      <c r="F17" s="120"/>
      <c r="G17" s="123" t="str">
        <f>"FROM " &amp;T3</f>
        <v>FROM LV-MSB</v>
      </c>
      <c r="H17" s="124"/>
      <c r="I17" s="124"/>
      <c r="J17" s="124"/>
      <c r="K17" s="124"/>
      <c r="L17" s="125"/>
      <c r="M17" s="126" t="s">
        <v>20</v>
      </c>
      <c r="N17" s="126" t="s">
        <v>21</v>
      </c>
      <c r="O17" s="126">
        <v>32</v>
      </c>
      <c r="P17" s="126" t="s">
        <v>95</v>
      </c>
      <c r="Q17" s="126" t="s">
        <v>185</v>
      </c>
      <c r="R17" s="126" t="s">
        <v>186</v>
      </c>
      <c r="S17" s="126" t="s">
        <v>32</v>
      </c>
      <c r="T17" s="154"/>
      <c r="U17" s="151"/>
      <c r="V17" s="151"/>
    </row>
    <row r="18" spans="1:22" s="163" customFormat="1" ht="19.5" customHeight="1" x14ac:dyDescent="0.25">
      <c r="A18" s="8"/>
      <c r="B18" s="9" t="str">
        <f>$B$12</f>
        <v/>
      </c>
      <c r="C18" s="9" t="e">
        <f>C12-0.3931</f>
        <v>#VALUE!</v>
      </c>
      <c r="D18" s="10" t="s">
        <v>33</v>
      </c>
      <c r="E18" s="155"/>
      <c r="F18" s="156"/>
      <c r="G18" s="157"/>
      <c r="H18" s="158"/>
      <c r="I18" s="158"/>
      <c r="J18" s="158"/>
      <c r="K18" s="158"/>
      <c r="L18" s="158"/>
      <c r="M18" s="159"/>
      <c r="N18" s="159"/>
      <c r="O18" s="159"/>
      <c r="P18" s="159"/>
      <c r="Q18" s="160">
        <f>M11</f>
        <v>0</v>
      </c>
      <c r="R18" s="159"/>
      <c r="S18" s="159"/>
      <c r="T18" s="161"/>
      <c r="U18" s="162"/>
      <c r="V18" s="162"/>
    </row>
  </sheetData>
  <sheetProtection formatCells="0" formatColumns="0" formatRows="0" insertRows="0" insertHyperlinks="0" deleteRows="0" sort="0" autoFilter="0" pivotTables="0"/>
  <mergeCells count="20">
    <mergeCell ref="W4:W5"/>
    <mergeCell ref="X4:X5"/>
    <mergeCell ref="G16:L16"/>
    <mergeCell ref="M16:P16"/>
    <mergeCell ref="Q16:R16"/>
    <mergeCell ref="G17:L17"/>
    <mergeCell ref="U4:U5"/>
    <mergeCell ref="V4:V5"/>
    <mergeCell ref="L4:L5"/>
    <mergeCell ref="M4:P4"/>
    <mergeCell ref="Q4:R4"/>
    <mergeCell ref="S4:S5"/>
    <mergeCell ref="T4:T5"/>
    <mergeCell ref="M12:S15"/>
    <mergeCell ref="A2:A3"/>
    <mergeCell ref="B2:C2"/>
    <mergeCell ref="F3:K3"/>
    <mergeCell ref="E4:E5"/>
    <mergeCell ref="F4:F5"/>
    <mergeCell ref="H4:K4"/>
  </mergeCells>
  <conditionalFormatting sqref="T1:T3 T6:T1048576">
    <cfRule type="cellIs" dxfId="13" priority="1" operator="equal">
      <formula>"BMS"</formula>
    </cfRule>
    <cfRule type="cellIs" dxfId="12" priority="2" operator="equal">
      <formula>"MCB"</formula>
    </cfRule>
    <cfRule type="cellIs" dxfId="11" priority="3" operator="equal">
      <formula>"RCD"</formula>
    </cfRule>
    <cfRule type="cellIs" dxfId="10" priority="4" operator="equal">
      <formula>"SPC"</formula>
    </cfRule>
  </conditionalFormatting>
  <dataValidations count="9">
    <dataValidation type="list" allowBlank="1" showInputMessage="1" showErrorMessage="1" sqref="T3" xr:uid="{0C230BEB-A114-43F8-AB03-9F33CF3C2E44}">
      <formula1>INDIRECT("Table17[ListPanel]")</formula1>
    </dataValidation>
    <dataValidation type="list" allowBlank="1" showInputMessage="1" showErrorMessage="1" sqref="T2" xr:uid="{F9C3EE84-55FF-433E-869C-BC20E3C8E66D}">
      <formula1>SL</formula1>
    </dataValidation>
    <dataValidation type="list" allowBlank="1" showInputMessage="1" showErrorMessage="1" sqref="M17" xr:uid="{8F0E4660-BC22-487C-964E-9B2C859803E7}">
      <formula1>CB_TYPE</formula1>
    </dataValidation>
    <dataValidation type="list" allowBlank="1" showInputMessage="1" showErrorMessage="1" sqref="N17" xr:uid="{CBE522D6-97C0-46F2-85CC-5E41F6629A40}">
      <formula1>CB_Pole</formula1>
    </dataValidation>
    <dataValidation type="list" allowBlank="1" showInputMessage="1" showErrorMessage="1" sqref="O17" xr:uid="{BB921605-9A8C-49BF-948E-76D3F8C2CDC5}">
      <formula1>CB_Rating</formula1>
    </dataValidation>
    <dataValidation type="list" allowBlank="1" showInputMessage="1" showErrorMessage="1" sqref="P17" xr:uid="{AF3A672F-024C-493F-85DE-FB6DBE863F74}">
      <formula1>cb_ISC</formula1>
    </dataValidation>
    <dataValidation type="list" allowBlank="1" showInputMessage="1" showErrorMessage="1" sqref="T11" xr:uid="{E5F42F57-93FA-4D87-9DB1-B092B04AF09D}">
      <formula1>ListBlock</formula1>
    </dataValidation>
    <dataValidation type="list" allowBlank="1" showInputMessage="1" showErrorMessage="1" sqref="T6:T9 D6 D7 D8 D9 D10 D11 T10" xr:uid="{869B241E-C8C4-4084-B0E6-BECED02C18E2}">
      <formula1>ListBlock</formula1>
    </dataValidation>
    <dataValidation type="list" allowBlank="1" showInputMessage="1" showErrorMessage="1" sqref="V6:V9" xr:uid="{6A08AC79-3631-40F0-98F0-01EC77B02334}">
      <formula1>"1,2,3,4"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15" fitToHeight="0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A10DE-088F-475F-A540-A530C4E4DAC6}">
  <sheetPr codeName="Sheet9">
    <pageSetUpPr fitToPage="1"/>
  </sheetPr>
  <dimension ref="A1:AQ18"/>
  <sheetViews>
    <sheetView showGridLines="0" tabSelected="1" topLeftCell="S4" zoomScale="70" zoomScaleNormal="70" zoomScaleSheetLayoutView="70" workbookViewId="0">
      <selection activeCell="AA15" sqref="AA15"/>
    </sheetView>
  </sheetViews>
  <sheetFormatPr defaultRowHeight="15" x14ac:dyDescent="0.25"/>
  <cols>
    <col min="1" max="1" width="12.7109375" hidden="1" customWidth="1"/>
    <col min="2" max="2" width="31.28515625" hidden="1" customWidth="1"/>
    <col min="3" max="3" width="20.5703125" hidden="1" customWidth="1"/>
    <col min="4" max="4" width="25.42578125" hidden="1" customWidth="1"/>
    <col min="5" max="5" width="23.42578125" style="164" customWidth="1"/>
    <col min="6" max="6" width="87.7109375" style="164" customWidth="1"/>
    <col min="7" max="7" width="53.85546875" style="164" hidden="1" customWidth="1"/>
    <col min="8" max="8" width="11.7109375" style="164" customWidth="1"/>
    <col min="9" max="9" width="9" style="164" customWidth="1"/>
    <col min="10" max="10" width="11.140625" style="164" customWidth="1"/>
    <col min="11" max="11" width="13.85546875" style="164" bestFit="1" customWidth="1"/>
    <col min="12" max="12" width="13.5703125" style="164" bestFit="1" customWidth="1"/>
    <col min="13" max="16" width="14.7109375" style="164" customWidth="1"/>
    <col min="17" max="17" width="37.85546875" style="164" customWidth="1"/>
    <col min="18" max="18" width="31.7109375" style="164" customWidth="1"/>
    <col min="19" max="19" width="30.7109375" style="164" customWidth="1"/>
    <col min="20" max="20" width="17.42578125" style="164" customWidth="1"/>
    <col min="21" max="21" width="17.5703125" style="164" customWidth="1"/>
    <col min="22" max="22" width="12.85546875" style="164" customWidth="1"/>
    <col min="23" max="23" width="29.140625" style="164" customWidth="1"/>
    <col min="24" max="24" width="46.28515625" style="164" customWidth="1"/>
    <col min="25" max="25" width="29.28515625" style="164" bestFit="1" customWidth="1"/>
    <col min="26" max="26" width="33.5703125" style="164" bestFit="1" customWidth="1"/>
    <col min="27" max="27" width="33.140625" style="164" bestFit="1" customWidth="1"/>
    <col min="28" max="28" width="23.5703125" style="164" bestFit="1" customWidth="1"/>
    <col min="29" max="29" width="36.85546875" style="164" bestFit="1" customWidth="1"/>
    <col min="30" max="31" width="9.140625" style="164"/>
    <col min="32" max="32" width="29.85546875" style="164" customWidth="1"/>
    <col min="33" max="33" width="52.140625" style="164" bestFit="1" customWidth="1"/>
    <col min="34" max="34" width="16.42578125" style="164" bestFit="1" customWidth="1"/>
    <col min="35" max="35" width="17.85546875" style="164" bestFit="1" customWidth="1"/>
    <col min="36" max="36" width="16.42578125" style="164" bestFit="1" customWidth="1"/>
    <col min="37" max="37" width="12" style="164" bestFit="1" customWidth="1"/>
    <col min="38" max="38" width="22.85546875" style="164" bestFit="1" customWidth="1"/>
    <col min="39" max="39" width="11.5703125" style="164" bestFit="1" customWidth="1"/>
    <col min="40" max="40" width="12.5703125" style="164" bestFit="1" customWidth="1"/>
    <col min="41" max="41" width="24.140625" style="164" customWidth="1"/>
    <col min="42" max="42" width="19.28515625" style="164" customWidth="1"/>
    <col min="43" max="16384" width="9.140625" style="164"/>
  </cols>
  <sheetData>
    <row r="1" spans="1:43" s="142" customFormat="1" ht="45.75" customHeight="1" thickBot="1" x14ac:dyDescent="0.3">
      <c r="A1" s="1" t="s">
        <v>143</v>
      </c>
      <c r="B1" s="1"/>
      <c r="C1" s="1"/>
      <c r="D1" s="82"/>
      <c r="E1" s="129" t="s">
        <v>195</v>
      </c>
      <c r="F1" s="88" t="str" cm="1">
        <f t="array" aca="1" ref="F1" ca="1">RIGHT(CELL("filename", A1), LEN(CELL("filename", A1)) - FIND("]", CELL("filename", A1)))</f>
        <v>MCP-B2F-FAF.Z1 (3)</v>
      </c>
      <c r="G1" s="89"/>
      <c r="H1" s="133"/>
      <c r="I1" s="134"/>
      <c r="J1" s="130"/>
      <c r="K1" s="131"/>
      <c r="L1" s="131"/>
      <c r="M1" s="131"/>
      <c r="N1" s="131"/>
      <c r="O1" s="131"/>
      <c r="P1" s="131"/>
      <c r="Q1" s="90"/>
      <c r="R1" s="90"/>
      <c r="S1" s="91"/>
      <c r="T1" s="186" t="s">
        <v>162</v>
      </c>
      <c r="U1" s="187" t="s">
        <v>163</v>
      </c>
      <c r="V1" s="187" t="s">
        <v>164</v>
      </c>
      <c r="W1" s="187" t="s">
        <v>165</v>
      </c>
      <c r="X1" s="187" t="s">
        <v>149</v>
      </c>
      <c r="Y1" s="187" t="s">
        <v>150</v>
      </c>
      <c r="Z1" s="187" t="s">
        <v>151</v>
      </c>
      <c r="AA1" s="187" t="s">
        <v>152</v>
      </c>
      <c r="AB1" s="187" t="s">
        <v>153</v>
      </c>
      <c r="AC1" s="187" t="s">
        <v>14</v>
      </c>
      <c r="AD1" s="187" t="s">
        <v>3</v>
      </c>
      <c r="AE1" s="187" t="s">
        <v>15</v>
      </c>
      <c r="AF1" s="187" t="s">
        <v>147</v>
      </c>
      <c r="AG1" s="187" t="s">
        <v>161</v>
      </c>
      <c r="AH1" s="195" t="s">
        <v>154</v>
      </c>
      <c r="AI1" s="195" t="s">
        <v>155</v>
      </c>
      <c r="AJ1" s="195" t="s">
        <v>156</v>
      </c>
      <c r="AK1" s="195" t="s">
        <v>157</v>
      </c>
      <c r="AL1" s="195" t="s">
        <v>158</v>
      </c>
      <c r="AM1" s="195" t="s">
        <v>159</v>
      </c>
      <c r="AN1" s="195" t="s">
        <v>160</v>
      </c>
      <c r="AO1" s="195" t="s">
        <v>170</v>
      </c>
      <c r="AP1" s="196" t="s">
        <v>166</v>
      </c>
    </row>
    <row r="2" spans="1:43" s="142" customFormat="1" ht="39" customHeight="1" thickTop="1" x14ac:dyDescent="0.25">
      <c r="A2" s="84" t="s">
        <v>0</v>
      </c>
      <c r="B2" s="85" t="s">
        <v>1</v>
      </c>
      <c r="C2" s="86"/>
      <c r="D2" s="82"/>
      <c r="E2" s="138" t="s">
        <v>194</v>
      </c>
      <c r="F2" s="141" t="s">
        <v>210</v>
      </c>
      <c r="G2" s="92"/>
      <c r="H2" s="132"/>
      <c r="I2" s="135"/>
      <c r="J2" s="136"/>
      <c r="K2" s="136"/>
      <c r="L2" s="136"/>
      <c r="M2" s="136"/>
      <c r="N2" s="136"/>
      <c r="O2" s="136"/>
      <c r="P2" s="136"/>
      <c r="Q2" s="127"/>
      <c r="R2" s="127"/>
      <c r="S2" s="93"/>
      <c r="T2" s="197" t="s">
        <v>214</v>
      </c>
      <c r="U2" s="188" t="str">
        <f>M17</f>
        <v>MCCB</v>
      </c>
      <c r="V2" s="188" t="str">
        <f t="shared" ref="V2" si="0">N17</f>
        <v>3P</v>
      </c>
      <c r="W2" s="188" t="str">
        <f>UPPER(O17)</f>
        <v>32</v>
      </c>
      <c r="X2" s="188" t="str">
        <f t="shared" ref="X2" si="1">P17</f>
        <v>36kA</v>
      </c>
      <c r="Y2" s="188" t="str">
        <f>Q17</f>
        <v>4x(1Cx300) Cu/XLPE/PVC</v>
      </c>
      <c r="Z2" s="188" t="str">
        <f>R17</f>
        <v>(1Cx300) Cu/PVC</v>
      </c>
      <c r="AA2" s="188" t="str">
        <f>S17</f>
        <v>IN CABLE TRAY</v>
      </c>
      <c r="AB2" s="188">
        <f t="shared" ref="AB2:AE3" si="2">H13</f>
        <v>0.8</v>
      </c>
      <c r="AC2" s="188">
        <f t="shared" ref="AC2:AE2" si="3">I12</f>
        <v>2</v>
      </c>
      <c r="AD2" s="188">
        <f t="shared" si="3"/>
        <v>3</v>
      </c>
      <c r="AE2" s="188">
        <f t="shared" si="3"/>
        <v>4</v>
      </c>
      <c r="AF2" s="188">
        <f>H14</f>
        <v>0.8</v>
      </c>
      <c r="AG2" s="188" t="str">
        <f>M12</f>
        <v>GHI CHÚ: 
- Chạy thử nghiệm ver1</v>
      </c>
      <c r="AH2" s="189">
        <f>ROW(C17)</f>
        <v>17</v>
      </c>
      <c r="AI2" s="189" cm="1">
        <f t="array" ref="AI2">ROW(11:11)</f>
        <v>11</v>
      </c>
      <c r="AJ2" s="188" t="s">
        <v>172</v>
      </c>
      <c r="AK2" s="188" t="s">
        <v>171</v>
      </c>
      <c r="AL2" s="188" t="s">
        <v>174</v>
      </c>
      <c r="AM2" s="188" t="s">
        <v>5</v>
      </c>
      <c r="AN2" s="188" t="s">
        <v>148</v>
      </c>
      <c r="AO2" s="189">
        <v>3</v>
      </c>
      <c r="AP2" s="190" t="s">
        <v>167</v>
      </c>
    </row>
    <row r="3" spans="1:43" s="143" customFormat="1" ht="45" customHeight="1" thickBot="1" x14ac:dyDescent="0.3">
      <c r="A3" s="84"/>
      <c r="B3" s="2" t="s">
        <v>2</v>
      </c>
      <c r="C3" s="81" t="s">
        <v>3</v>
      </c>
      <c r="D3" s="83" t="s">
        <v>11</v>
      </c>
      <c r="E3" s="138" t="s">
        <v>211</v>
      </c>
      <c r="F3" s="139" t="s">
        <v>208</v>
      </c>
      <c r="G3" s="140"/>
      <c r="H3" s="140"/>
      <c r="I3" s="140"/>
      <c r="J3" s="140"/>
      <c r="K3" s="140"/>
      <c r="L3" s="137"/>
      <c r="M3" s="137"/>
      <c r="N3" s="137"/>
      <c r="O3" s="137"/>
      <c r="P3" s="137"/>
      <c r="Q3" s="94"/>
      <c r="R3" s="94"/>
      <c r="S3" s="95"/>
      <c r="T3" s="198" t="s">
        <v>146</v>
      </c>
      <c r="U3" s="191"/>
      <c r="V3" s="191"/>
      <c r="W3" s="191" t="str">
        <f>SUBSTITUTE(W2,"A","")&amp;"/5A"</f>
        <v>32/5A</v>
      </c>
      <c r="X3" s="191"/>
      <c r="Y3" s="191"/>
      <c r="Z3" s="191"/>
      <c r="AA3" s="191"/>
      <c r="AB3" s="192">
        <f t="shared" si="2"/>
        <v>0.8</v>
      </c>
      <c r="AC3" s="192">
        <f t="shared" si="2"/>
        <v>1.6</v>
      </c>
      <c r="AD3" s="192">
        <f t="shared" si="2"/>
        <v>2.4000000000000004</v>
      </c>
      <c r="AE3" s="192">
        <f t="shared" si="2"/>
        <v>3.2</v>
      </c>
      <c r="AF3" s="193">
        <f>H15</f>
        <v>14.55</v>
      </c>
      <c r="AG3" s="193"/>
      <c r="AH3" s="193"/>
      <c r="AI3" s="192"/>
      <c r="AJ3" s="193"/>
      <c r="AK3" s="193"/>
      <c r="AL3" s="193"/>
      <c r="AM3" s="193"/>
      <c r="AN3" s="193"/>
      <c r="AO3" s="193" t="str" cm="1">
        <f t="array" ref="AO3">IF(SUMPRODUCT(COUNTIF(T6:T10, HasArrow)) &gt; 0, "Yes", "NO")</f>
        <v>NO</v>
      </c>
      <c r="AP3" s="194" t="s">
        <v>168</v>
      </c>
      <c r="AQ3" s="142"/>
    </row>
    <row r="4" spans="1:43" s="143" customFormat="1" ht="54.75" customHeight="1" x14ac:dyDescent="0.25">
      <c r="A4" s="3"/>
      <c r="B4" s="14" t="e">
        <f>VLOOKUP($A$1,#REF!,2,0)</f>
        <v>#REF!</v>
      </c>
      <c r="C4" s="3" t="e">
        <f>VLOOKUP(A1,#REF!,3,0)</f>
        <v>#REF!</v>
      </c>
      <c r="D4" s="74">
        <f>J1</f>
        <v>0</v>
      </c>
      <c r="E4" s="165" t="s">
        <v>207</v>
      </c>
      <c r="F4" s="165" t="s">
        <v>201</v>
      </c>
      <c r="G4" s="166"/>
      <c r="H4" s="167" t="s">
        <v>12</v>
      </c>
      <c r="I4" s="168"/>
      <c r="J4" s="168"/>
      <c r="K4" s="169"/>
      <c r="L4" s="170" t="s">
        <v>197</v>
      </c>
      <c r="M4" s="171" t="s">
        <v>198</v>
      </c>
      <c r="N4" s="172"/>
      <c r="O4" s="172"/>
      <c r="P4" s="172"/>
      <c r="Q4" s="173" t="s">
        <v>199</v>
      </c>
      <c r="R4" s="174"/>
      <c r="S4" s="174" t="s">
        <v>200</v>
      </c>
      <c r="T4" s="202" t="s">
        <v>216</v>
      </c>
      <c r="U4" s="213" t="s">
        <v>285</v>
      </c>
      <c r="V4" s="215" t="s">
        <v>286</v>
      </c>
      <c r="W4" s="213" t="s">
        <v>287</v>
      </c>
      <c r="X4" s="213" t="s">
        <v>288</v>
      </c>
    </row>
    <row r="5" spans="1:43" s="143" customFormat="1" ht="57.75" customHeight="1" thickBot="1" x14ac:dyDescent="0.3">
      <c r="A5" s="4"/>
      <c r="B5" s="4" t="str">
        <f>IF(D6="","",B4)</f>
        <v/>
      </c>
      <c r="C5" s="4" t="str">
        <f>IF(D6="","",C4)</f>
        <v/>
      </c>
      <c r="D5" s="75" t="s">
        <v>145</v>
      </c>
      <c r="E5" s="175"/>
      <c r="F5" s="175"/>
      <c r="G5" s="176"/>
      <c r="H5" s="177" t="s">
        <v>13</v>
      </c>
      <c r="I5" s="177" t="s">
        <v>14</v>
      </c>
      <c r="J5" s="177" t="s">
        <v>3</v>
      </c>
      <c r="K5" s="177" t="s">
        <v>15</v>
      </c>
      <c r="L5" s="178"/>
      <c r="M5" s="179" t="s">
        <v>16</v>
      </c>
      <c r="N5" s="179" t="s">
        <v>17</v>
      </c>
      <c r="O5" s="180" t="s">
        <v>196</v>
      </c>
      <c r="P5" s="179" t="s">
        <v>18</v>
      </c>
      <c r="Q5" s="181" t="s">
        <v>19</v>
      </c>
      <c r="R5" s="179" t="s">
        <v>212</v>
      </c>
      <c r="S5" s="174"/>
      <c r="T5" s="203"/>
      <c r="U5" s="214"/>
      <c r="V5" s="216"/>
      <c r="W5" s="214"/>
      <c r="X5" s="214"/>
    </row>
    <row r="6" spans="1:43" s="143" customFormat="1" ht="36.950000000000003" customHeight="1" thickTop="1" x14ac:dyDescent="0.25">
      <c r="A6" s="5"/>
      <c r="B6" s="6"/>
      <c r="C6" s="6"/>
      <c r="D6" s="13"/>
      <c r="E6" s="204" t="s">
        <v>271</v>
      </c>
      <c r="F6" s="205" t="s">
        <v>272</v>
      </c>
      <c r="G6" s="205" t="s">
        <v>273</v>
      </c>
      <c r="H6" s="206">
        <f t="shared" ref="H6:H7" si="4">ROUND(SUM(I6:K6),2)</f>
        <v>117.65</v>
      </c>
      <c r="I6" s="217">
        <f>IF(V6="1",U6,IF(V6="4",U6/3,""))</f>
        <v>39.215686274509807</v>
      </c>
      <c r="J6" s="217">
        <f>IF(V6="2",U6,IF(V6="4",U6/3,""))</f>
        <v>39.215686274509807</v>
      </c>
      <c r="K6" s="217">
        <f>IF(V6="3",U6,IF(V6="4",U6/3,""))</f>
        <v>39.215686274509807</v>
      </c>
      <c r="L6" s="206">
        <f>ROUND((MAX(I6,J6,K6)/0.22),2)</f>
        <v>178.25</v>
      </c>
      <c r="M6" s="207" t="s">
        <v>20</v>
      </c>
      <c r="N6" s="221" t="s">
        <v>21</v>
      </c>
      <c r="O6" s="222" t="s">
        <v>85</v>
      </c>
      <c r="P6" s="207" t="s">
        <v>23</v>
      </c>
      <c r="Q6" s="209" t="s">
        <v>293</v>
      </c>
      <c r="R6" s="210" t="s">
        <v>294</v>
      </c>
      <c r="S6" s="211" t="s">
        <v>32</v>
      </c>
      <c r="T6" s="234" t="s">
        <v>6</v>
      </c>
      <c r="U6" s="218">
        <f>100/0.85</f>
        <v>117.64705882352942</v>
      </c>
      <c r="V6" s="219" t="s">
        <v>292</v>
      </c>
      <c r="W6" s="220" t="e" cm="1">
        <f t="array" ref="W6">[2]!KIEMTRACAP(O6,Q6,R6,Cb_In)</f>
        <v>#VALUE!</v>
      </c>
      <c r="X6" s="220" t="str" cm="1">
        <f t="array" ref="X6">[2]!KiemTraOng3(Q6,R6,DKC,DKO,35,1)</f>
        <v>3x6 + 1x6  @D32 (27.2%)</v>
      </c>
    </row>
    <row r="7" spans="1:43" s="143" customFormat="1" ht="36.950000000000003" customHeight="1" x14ac:dyDescent="0.25">
      <c r="A7" s="5"/>
      <c r="B7" s="6"/>
      <c r="C7" s="6"/>
      <c r="D7" s="13"/>
      <c r="E7" s="204" t="s">
        <v>276</v>
      </c>
      <c r="F7" s="205" t="s">
        <v>272</v>
      </c>
      <c r="G7" s="205" t="s">
        <v>273</v>
      </c>
      <c r="H7" s="206">
        <f t="shared" si="4"/>
        <v>27.1</v>
      </c>
      <c r="I7" s="217">
        <f t="shared" ref="I7:I8" si="5">IF(V7="1",U7,IF(V7="4",U7/3,""))</f>
        <v>9.0333333333333332</v>
      </c>
      <c r="J7" s="217">
        <f t="shared" ref="J7:J8" si="6">IF(V7="2",U7,IF(V7="4",U7/3,""))</f>
        <v>9.0333333333333332</v>
      </c>
      <c r="K7" s="217">
        <f t="shared" ref="K7:K8" si="7">IF(V7="3",U7,IF(V7="4",U7/3,""))</f>
        <v>9.0333333333333332</v>
      </c>
      <c r="L7" s="206">
        <f>ROUND((MAX(I7,J7,K7)/0.22),2)</f>
        <v>41.06</v>
      </c>
      <c r="M7" s="207" t="s">
        <v>20</v>
      </c>
      <c r="N7" s="207" t="s">
        <v>21</v>
      </c>
      <c r="O7" s="208" t="s">
        <v>85</v>
      </c>
      <c r="P7" s="207" t="s">
        <v>23</v>
      </c>
      <c r="Q7" s="209" t="s">
        <v>274</v>
      </c>
      <c r="R7" s="210" t="s">
        <v>275</v>
      </c>
      <c r="S7" s="211" t="s">
        <v>32</v>
      </c>
      <c r="T7" s="234" t="s">
        <v>6</v>
      </c>
      <c r="U7" s="218">
        <v>27.1</v>
      </c>
      <c r="V7" s="219" t="s">
        <v>292</v>
      </c>
      <c r="W7" s="220" t="s">
        <v>290</v>
      </c>
      <c r="X7" s="220" t="s">
        <v>291</v>
      </c>
    </row>
    <row r="8" spans="1:43" s="143" customFormat="1" ht="36.950000000000003" customHeight="1" x14ac:dyDescent="0.25">
      <c r="A8" s="5"/>
      <c r="B8" s="6"/>
      <c r="C8" s="6"/>
      <c r="D8" s="13"/>
      <c r="E8" s="204" t="s">
        <v>277</v>
      </c>
      <c r="F8" s="212" t="s">
        <v>278</v>
      </c>
      <c r="G8" s="212" t="s">
        <v>279</v>
      </c>
      <c r="H8" s="206">
        <f>ROUND(SUM(I8:K8),2)</f>
        <v>27.1</v>
      </c>
      <c r="I8" s="217">
        <f t="shared" si="5"/>
        <v>9.0333333333333332</v>
      </c>
      <c r="J8" s="217">
        <f t="shared" si="6"/>
        <v>9.0333333333333332</v>
      </c>
      <c r="K8" s="217">
        <f t="shared" si="7"/>
        <v>9.0333333333333332</v>
      </c>
      <c r="L8" s="206">
        <f>ROUND((MAX(I8,J8,K8)/0.22),2)</f>
        <v>41.06</v>
      </c>
      <c r="M8" s="207" t="s">
        <v>6</v>
      </c>
      <c r="N8" s="207" t="s">
        <v>34</v>
      </c>
      <c r="O8" s="208" t="s">
        <v>35</v>
      </c>
      <c r="P8" s="207" t="s">
        <v>36</v>
      </c>
      <c r="Q8" s="209" t="s">
        <v>280</v>
      </c>
      <c r="R8" s="211" t="s">
        <v>281</v>
      </c>
      <c r="S8" s="211" t="s">
        <v>282</v>
      </c>
      <c r="T8" s="234" t="s">
        <v>6</v>
      </c>
      <c r="U8" s="218">
        <v>27.1</v>
      </c>
      <c r="V8" s="219" t="s">
        <v>292</v>
      </c>
      <c r="W8" s="220" t="s">
        <v>290</v>
      </c>
      <c r="X8" s="220" t="s">
        <v>291</v>
      </c>
    </row>
    <row r="9" spans="1:43" s="143" customFormat="1" ht="36.950000000000003" customHeight="1" x14ac:dyDescent="0.25">
      <c r="A9" s="5"/>
      <c r="B9" s="6"/>
      <c r="C9" s="6"/>
      <c r="D9" s="13"/>
      <c r="E9" s="204" t="s">
        <v>188</v>
      </c>
      <c r="F9" s="205" t="s">
        <v>283</v>
      </c>
      <c r="G9" s="212" t="s">
        <v>284</v>
      </c>
      <c r="H9" s="206" t="e">
        <f t="shared" ref="H9" si="8">ROUND(SUM(I9:K9),2)</f>
        <v>#DIV/0!</v>
      </c>
      <c r="I9" s="206"/>
      <c r="J9" s="206" t="e">
        <f>ROUND(U9/$V$3,2)</f>
        <v>#DIV/0!</v>
      </c>
      <c r="K9" s="206"/>
      <c r="L9" s="206" t="e">
        <f>ROUND((MAX(I9,J9,K9)/0.22),2)</f>
        <v>#DIV/0!</v>
      </c>
      <c r="M9" s="207" t="s">
        <v>6</v>
      </c>
      <c r="N9" s="207" t="s">
        <v>34</v>
      </c>
      <c r="O9" s="208" t="s">
        <v>35</v>
      </c>
      <c r="P9" s="207" t="s">
        <v>36</v>
      </c>
      <c r="Q9" s="207"/>
      <c r="R9" s="207"/>
      <c r="S9" s="207"/>
      <c r="T9" s="234" t="s">
        <v>6</v>
      </c>
      <c r="U9" s="218">
        <v>0.5</v>
      </c>
      <c r="V9" s="219" t="s">
        <v>289</v>
      </c>
      <c r="W9" s="220" t="s">
        <v>290</v>
      </c>
      <c r="X9" s="220" t="s">
        <v>291</v>
      </c>
    </row>
    <row r="10" spans="1:43" s="143" customFormat="1" ht="36.950000000000003" customHeight="1" x14ac:dyDescent="0.25">
      <c r="A10" s="5"/>
      <c r="B10" s="6"/>
      <c r="C10" s="6"/>
      <c r="D10" s="13"/>
      <c r="E10" s="104"/>
      <c r="F10" s="97"/>
      <c r="G10" s="98"/>
      <c r="H10" s="99"/>
      <c r="I10" s="99"/>
      <c r="J10" s="99"/>
      <c r="K10" s="99"/>
      <c r="L10" s="99"/>
      <c r="M10" s="100"/>
      <c r="N10" s="101"/>
      <c r="O10" s="101"/>
      <c r="P10" s="102"/>
      <c r="Q10" s="103"/>
      <c r="R10" s="101"/>
      <c r="S10" s="99"/>
      <c r="T10" s="234"/>
      <c r="U10" s="148"/>
      <c r="V10" s="147"/>
      <c r="W10" s="220" t="s">
        <v>290</v>
      </c>
      <c r="X10" s="220" t="s">
        <v>291</v>
      </c>
    </row>
    <row r="11" spans="1:43" s="143" customFormat="1" ht="36.75" customHeight="1" x14ac:dyDescent="0.25">
      <c r="A11" s="5"/>
      <c r="B11" s="6"/>
      <c r="C11" s="6"/>
      <c r="D11" s="13"/>
      <c r="E11" s="105"/>
      <c r="F11" s="97"/>
      <c r="G11" s="98"/>
      <c r="H11" s="99"/>
      <c r="I11" s="99"/>
      <c r="J11" s="99"/>
      <c r="K11" s="101"/>
      <c r="L11" s="106"/>
      <c r="M11" s="107"/>
      <c r="N11" s="107"/>
      <c r="O11" s="107"/>
      <c r="P11" s="107"/>
      <c r="Q11" s="107"/>
      <c r="R11" s="107"/>
      <c r="S11" s="108"/>
      <c r="T11" s="144"/>
      <c r="U11" s="149"/>
    </row>
    <row r="12" spans="1:43" s="152" customFormat="1" ht="34.15" customHeight="1" x14ac:dyDescent="0.25">
      <c r="A12" s="7"/>
      <c r="B12" s="6" t="str">
        <f t="shared" ref="B12:B15" si="9">IF(D12="","",$B$5)</f>
        <v/>
      </c>
      <c r="C12" s="6" t="e">
        <f>IF(D12="","",INDEX($C$5:$C$147,1)-(ROW()-6)*1000)+1000</f>
        <v>#VALUE!</v>
      </c>
      <c r="D12" s="79"/>
      <c r="E12" s="109"/>
      <c r="F12" s="110" t="s">
        <v>202</v>
      </c>
      <c r="G12" s="111"/>
      <c r="H12" s="112">
        <v>1</v>
      </c>
      <c r="I12" s="112">
        <v>2</v>
      </c>
      <c r="J12" s="112">
        <v>3</v>
      </c>
      <c r="K12" s="113">
        <v>4</v>
      </c>
      <c r="L12" s="114"/>
      <c r="M12" s="128" t="s">
        <v>206</v>
      </c>
      <c r="N12" s="128"/>
      <c r="O12" s="128"/>
      <c r="P12" s="128"/>
      <c r="Q12" s="128"/>
      <c r="R12" s="128"/>
      <c r="S12" s="115"/>
      <c r="T12" s="150"/>
      <c r="U12" s="151"/>
      <c r="V12" s="151"/>
    </row>
    <row r="13" spans="1:43" s="152" customFormat="1" ht="34.15" customHeight="1" x14ac:dyDescent="0.25">
      <c r="A13" s="7"/>
      <c r="B13" s="6" t="str">
        <f t="shared" si="9"/>
        <v/>
      </c>
      <c r="C13" s="6" t="e">
        <f>IF(D13="","",INDEX($C$5:$C$147,1)-(ROW()-6)*1000)+1000</f>
        <v>#VALUE!</v>
      </c>
      <c r="D13" s="80"/>
      <c r="E13" s="109"/>
      <c r="F13" s="110" t="s">
        <v>203</v>
      </c>
      <c r="G13" s="111"/>
      <c r="H13" s="112">
        <v>0.8</v>
      </c>
      <c r="I13" s="113"/>
      <c r="J13" s="116"/>
      <c r="K13" s="116"/>
      <c r="L13" s="114"/>
      <c r="M13" s="128"/>
      <c r="N13" s="128"/>
      <c r="O13" s="128"/>
      <c r="P13" s="128"/>
      <c r="Q13" s="128"/>
      <c r="R13" s="128"/>
      <c r="S13" s="115"/>
      <c r="T13" s="150"/>
      <c r="U13" s="151"/>
      <c r="V13" s="151"/>
    </row>
    <row r="14" spans="1:43" s="152" customFormat="1" ht="34.15" customHeight="1" x14ac:dyDescent="0.25">
      <c r="A14" s="7"/>
      <c r="B14" s="6" t="str">
        <f t="shared" si="9"/>
        <v/>
      </c>
      <c r="C14" s="6" t="e">
        <f>IF(D14="","",INDEX($C$5:$C$147,1)-(ROW()-6)*1000)+1000</f>
        <v>#VALUE!</v>
      </c>
      <c r="D14" s="80"/>
      <c r="E14" s="109"/>
      <c r="F14" s="110" t="s">
        <v>204</v>
      </c>
      <c r="G14" s="111"/>
      <c r="H14" s="112">
        <f>H12*H13</f>
        <v>0.8</v>
      </c>
      <c r="I14" s="112">
        <f>I12*H13</f>
        <v>1.6</v>
      </c>
      <c r="J14" s="112">
        <f>J12*H13</f>
        <v>2.4000000000000004</v>
      </c>
      <c r="K14" s="113">
        <f>K12*H13</f>
        <v>3.2</v>
      </c>
      <c r="L14" s="114"/>
      <c r="M14" s="128"/>
      <c r="N14" s="128"/>
      <c r="O14" s="128"/>
      <c r="P14" s="128"/>
      <c r="Q14" s="128"/>
      <c r="R14" s="128"/>
      <c r="S14" s="115"/>
      <c r="T14" s="150"/>
      <c r="U14" s="151"/>
      <c r="V14" s="151"/>
    </row>
    <row r="15" spans="1:43" s="152" customFormat="1" ht="34.15" customHeight="1" x14ac:dyDescent="0.25">
      <c r="A15" s="7"/>
      <c r="B15" s="6" t="str">
        <f t="shared" si="9"/>
        <v/>
      </c>
      <c r="C15" s="6" t="e">
        <f>IF(D15="","",INDEX($C$5:$C$147,1)-(ROW()-6)*1000)+1000</f>
        <v>#VALUE!</v>
      </c>
      <c r="D15" s="80"/>
      <c r="E15" s="109"/>
      <c r="F15" s="110" t="s">
        <v>205</v>
      </c>
      <c r="G15" s="111"/>
      <c r="H15" s="112">
        <f>ROUND(MAX(I14:K14)/0.22,2)</f>
        <v>14.55</v>
      </c>
      <c r="I15" s="113"/>
      <c r="J15" s="116"/>
      <c r="K15" s="116"/>
      <c r="L15" s="117"/>
      <c r="M15" s="118"/>
      <c r="N15" s="118"/>
      <c r="O15" s="118"/>
      <c r="P15" s="118"/>
      <c r="Q15" s="118"/>
      <c r="R15" s="118"/>
      <c r="S15" s="119"/>
      <c r="T15" s="150"/>
      <c r="U15" s="151"/>
      <c r="V15" s="151"/>
    </row>
    <row r="16" spans="1:43" s="152" customFormat="1" ht="34.15" customHeight="1" x14ac:dyDescent="0.25">
      <c r="A16" s="7"/>
      <c r="B16" s="6"/>
      <c r="C16" s="6"/>
      <c r="D16" s="78"/>
      <c r="E16" s="109"/>
      <c r="F16" s="120"/>
      <c r="G16" s="121" t="s">
        <v>24</v>
      </c>
      <c r="H16" s="121"/>
      <c r="I16" s="121"/>
      <c r="J16" s="121"/>
      <c r="K16" s="121"/>
      <c r="L16" s="121"/>
      <c r="M16" s="121" t="s">
        <v>25</v>
      </c>
      <c r="N16" s="121"/>
      <c r="O16" s="121"/>
      <c r="P16" s="121"/>
      <c r="Q16" s="121" t="s">
        <v>26</v>
      </c>
      <c r="R16" s="121"/>
      <c r="S16" s="122" t="s">
        <v>27</v>
      </c>
      <c r="T16" s="153"/>
      <c r="U16" s="151"/>
      <c r="V16" s="151"/>
    </row>
    <row r="17" spans="1:22" s="152" customFormat="1" ht="34.15" customHeight="1" x14ac:dyDescent="0.25">
      <c r="A17" s="7"/>
      <c r="B17" s="6" t="str">
        <f t="shared" ref="B17" si="10">IF(D17="","",$B$5)</f>
        <v/>
      </c>
      <c r="C17" s="6" t="str">
        <f>IF(D17="","",INDEX($C$5:$C$147,1)-(ROW()-6)*1000)</f>
        <v/>
      </c>
      <c r="D17" s="78"/>
      <c r="E17" s="109"/>
      <c r="F17" s="120"/>
      <c r="G17" s="123" t="str">
        <f>"FROM " &amp;T3</f>
        <v>FROM LV-MSB</v>
      </c>
      <c r="H17" s="124"/>
      <c r="I17" s="124"/>
      <c r="J17" s="124"/>
      <c r="K17" s="124"/>
      <c r="L17" s="125"/>
      <c r="M17" s="126" t="s">
        <v>20</v>
      </c>
      <c r="N17" s="126" t="s">
        <v>21</v>
      </c>
      <c r="O17" s="126">
        <v>32</v>
      </c>
      <c r="P17" s="126" t="s">
        <v>95</v>
      </c>
      <c r="Q17" s="126" t="s">
        <v>185</v>
      </c>
      <c r="R17" s="126" t="s">
        <v>186</v>
      </c>
      <c r="S17" s="126" t="s">
        <v>32</v>
      </c>
      <c r="T17" s="154"/>
      <c r="U17" s="151"/>
      <c r="V17" s="151"/>
    </row>
    <row r="18" spans="1:22" s="163" customFormat="1" ht="19.5" customHeight="1" x14ac:dyDescent="0.25">
      <c r="A18" s="8"/>
      <c r="B18" s="9" t="str">
        <f>$B$12</f>
        <v/>
      </c>
      <c r="C18" s="9" t="e">
        <f>C12-0.3931</f>
        <v>#VALUE!</v>
      </c>
      <c r="D18" s="10" t="s">
        <v>33</v>
      </c>
      <c r="E18" s="155"/>
      <c r="F18" s="156"/>
      <c r="G18" s="157"/>
      <c r="H18" s="158"/>
      <c r="I18" s="158"/>
      <c r="J18" s="158"/>
      <c r="K18" s="158"/>
      <c r="L18" s="158"/>
      <c r="M18" s="159"/>
      <c r="N18" s="159"/>
      <c r="O18" s="159"/>
      <c r="P18" s="159"/>
      <c r="Q18" s="160">
        <f>M11</f>
        <v>0</v>
      </c>
      <c r="R18" s="159"/>
      <c r="S18" s="159"/>
      <c r="T18" s="161"/>
      <c r="U18" s="162"/>
      <c r="V18" s="162"/>
    </row>
  </sheetData>
  <sheetProtection formatCells="0" formatColumns="0" formatRows="0" insertRows="0" insertHyperlinks="0" deleteRows="0" sort="0" autoFilter="0" pivotTables="0"/>
  <mergeCells count="20">
    <mergeCell ref="G17:L17"/>
    <mergeCell ref="V4:V5"/>
    <mergeCell ref="W4:W5"/>
    <mergeCell ref="X4:X5"/>
    <mergeCell ref="M12:S15"/>
    <mergeCell ref="G16:L16"/>
    <mergeCell ref="M16:P16"/>
    <mergeCell ref="Q16:R16"/>
    <mergeCell ref="L4:L5"/>
    <mergeCell ref="M4:P4"/>
    <mergeCell ref="Q4:R4"/>
    <mergeCell ref="S4:S5"/>
    <mergeCell ref="T4:T5"/>
    <mergeCell ref="U4:U5"/>
    <mergeCell ref="A2:A3"/>
    <mergeCell ref="B2:C2"/>
    <mergeCell ref="F3:K3"/>
    <mergeCell ref="E4:E5"/>
    <mergeCell ref="F4:F5"/>
    <mergeCell ref="H4:K4"/>
  </mergeCells>
  <conditionalFormatting sqref="T1:T3 T6:T1048576">
    <cfRule type="cellIs" dxfId="5" priority="1" operator="equal">
      <formula>"BMS"</formula>
    </cfRule>
    <cfRule type="cellIs" dxfId="4" priority="2" operator="equal">
      <formula>"MCB"</formula>
    </cfRule>
    <cfRule type="cellIs" dxfId="3" priority="3" operator="equal">
      <formula>"RCD"</formula>
    </cfRule>
    <cfRule type="cellIs" dxfId="2" priority="4" operator="equal">
      <formula>"SPC"</formula>
    </cfRule>
  </conditionalFormatting>
  <dataValidations disablePrompts="1" count="9">
    <dataValidation type="list" allowBlank="1" showInputMessage="1" showErrorMessage="1" sqref="V6:V9" xr:uid="{8E2C7378-0DAF-4508-8AC9-252D135F86A0}">
      <formula1>"1,2,3,4"</formula1>
    </dataValidation>
    <dataValidation type="list" allowBlank="1" showInputMessage="1" showErrorMessage="1" sqref="D6:D11 T6:T10" xr:uid="{E34655A6-CC9D-40E9-91F7-3299106E6E91}">
      <formula1>ListBlock</formula1>
    </dataValidation>
    <dataValidation type="list" allowBlank="1" showInputMessage="1" showErrorMessage="1" sqref="T11" xr:uid="{3A1A5FF9-3582-43E5-AFDD-84E658D55BFD}">
      <formula1>ListBlock</formula1>
    </dataValidation>
    <dataValidation type="list" allowBlank="1" showInputMessage="1" showErrorMessage="1" sqref="P17" xr:uid="{FC059C11-33F9-4D23-8FEF-C164C41330E9}">
      <formula1>cb_ISC</formula1>
    </dataValidation>
    <dataValidation type="list" allowBlank="1" showInputMessage="1" showErrorMessage="1" sqref="O17" xr:uid="{2E7CB830-6E37-4C75-B2CF-EA97589EF089}">
      <formula1>CB_Rating</formula1>
    </dataValidation>
    <dataValidation type="list" allowBlank="1" showInputMessage="1" showErrorMessage="1" sqref="N17" xr:uid="{7680DFCB-871A-4D75-AA58-38B612A5156F}">
      <formula1>CB_Pole</formula1>
    </dataValidation>
    <dataValidation type="list" allowBlank="1" showInputMessage="1" showErrorMessage="1" sqref="M17" xr:uid="{33905540-F8A6-40EB-A921-388B194C9D88}">
      <formula1>CB_TYPE</formula1>
    </dataValidation>
    <dataValidation type="list" allowBlank="1" showInputMessage="1" showErrorMessage="1" sqref="T2" xr:uid="{EC75FA9C-92A1-431B-8EF3-406E23F23709}">
      <formula1>SL</formula1>
    </dataValidation>
    <dataValidation type="list" allowBlank="1" showInputMessage="1" showErrorMessage="1" sqref="T3" xr:uid="{8CBA4A21-0293-4209-A75F-84706C0736EC}">
      <formula1>INDIRECT("Table17[ListPanel]")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16" fitToHeight="0" orientation="landscape" blackAndWhite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95B81-12FB-48CF-8E11-B5F86EBA3F16}">
  <sheetPr codeName="Sheet8">
    <pageSetUpPr fitToPage="1"/>
  </sheetPr>
  <dimension ref="A1:AQ18"/>
  <sheetViews>
    <sheetView showGridLines="0" topLeftCell="E2" zoomScale="70" zoomScaleNormal="70" zoomScaleSheetLayoutView="70" workbookViewId="0">
      <selection activeCell="F22" sqref="F22"/>
    </sheetView>
  </sheetViews>
  <sheetFormatPr defaultRowHeight="15" x14ac:dyDescent="0.25"/>
  <cols>
    <col min="1" max="1" width="12.7109375" hidden="1" customWidth="1"/>
    <col min="2" max="2" width="31.28515625" hidden="1" customWidth="1"/>
    <col min="3" max="3" width="20.5703125" hidden="1" customWidth="1"/>
    <col min="4" max="4" width="25.42578125" hidden="1" customWidth="1"/>
    <col min="5" max="5" width="23.42578125" style="164" customWidth="1"/>
    <col min="6" max="6" width="87.7109375" style="164" customWidth="1"/>
    <col min="7" max="7" width="53.85546875" style="164" hidden="1" customWidth="1"/>
    <col min="8" max="8" width="11.7109375" style="164" customWidth="1"/>
    <col min="9" max="9" width="9" style="164" customWidth="1"/>
    <col min="10" max="10" width="11.140625" style="164" customWidth="1"/>
    <col min="11" max="11" width="13.85546875" style="164" bestFit="1" customWidth="1"/>
    <col min="12" max="12" width="13.5703125" style="164" bestFit="1" customWidth="1"/>
    <col min="13" max="16" width="14.7109375" style="164" customWidth="1"/>
    <col min="17" max="17" width="37.85546875" style="164" customWidth="1"/>
    <col min="18" max="18" width="31.7109375" style="164" customWidth="1"/>
    <col min="19" max="19" width="30.7109375" style="164" customWidth="1"/>
    <col min="20" max="20" width="17.42578125" style="164" customWidth="1"/>
    <col min="21" max="21" width="17.5703125" style="164" customWidth="1"/>
    <col min="22" max="22" width="12.85546875" style="164" customWidth="1"/>
    <col min="23" max="23" width="29.140625" style="164" customWidth="1"/>
    <col min="24" max="24" width="46.28515625" style="164" customWidth="1"/>
    <col min="25" max="25" width="29.28515625" style="164" bestFit="1" customWidth="1"/>
    <col min="26" max="26" width="33.5703125" style="164" bestFit="1" customWidth="1"/>
    <col min="27" max="27" width="33.140625" style="164" bestFit="1" customWidth="1"/>
    <col min="28" max="28" width="23.5703125" style="164" bestFit="1" customWidth="1"/>
    <col min="29" max="29" width="36.85546875" style="164" bestFit="1" customWidth="1"/>
    <col min="30" max="31" width="9.140625" style="164"/>
    <col min="32" max="32" width="29.85546875" style="164" customWidth="1"/>
    <col min="33" max="33" width="52.140625" style="164" bestFit="1" customWidth="1"/>
    <col min="34" max="34" width="16.42578125" style="164" bestFit="1" customWidth="1"/>
    <col min="35" max="35" width="17.85546875" style="164" bestFit="1" customWidth="1"/>
    <col min="36" max="36" width="16.42578125" style="164" bestFit="1" customWidth="1"/>
    <col min="37" max="37" width="12" style="164" bestFit="1" customWidth="1"/>
    <col min="38" max="38" width="22.85546875" style="164" bestFit="1" customWidth="1"/>
    <col min="39" max="39" width="11.5703125" style="164" bestFit="1" customWidth="1"/>
    <col min="40" max="40" width="12.5703125" style="164" bestFit="1" customWidth="1"/>
    <col min="41" max="41" width="24.140625" style="164" customWidth="1"/>
    <col min="42" max="42" width="19.28515625" style="164" customWidth="1"/>
    <col min="43" max="16384" width="9.140625" style="164"/>
  </cols>
  <sheetData>
    <row r="1" spans="1:43" s="142" customFormat="1" ht="45.75" customHeight="1" thickBot="1" x14ac:dyDescent="0.3">
      <c r="A1" s="1" t="s">
        <v>143</v>
      </c>
      <c r="B1" s="1"/>
      <c r="C1" s="1"/>
      <c r="D1" s="82"/>
      <c r="E1" s="129" t="s">
        <v>195</v>
      </c>
      <c r="F1" s="88" t="str" cm="1">
        <f t="array" aca="1" ref="F1" ca="1">RIGHT(CELL("filename", A1), LEN(CELL("filename", A1)) - FIND("]", CELL("filename", A1)))</f>
        <v>MCP-B2F-FAF.Z1 (2)</v>
      </c>
      <c r="G1" s="89"/>
      <c r="H1" s="133"/>
      <c r="I1" s="134"/>
      <c r="J1" s="130"/>
      <c r="K1" s="131"/>
      <c r="L1" s="131"/>
      <c r="M1" s="131"/>
      <c r="N1" s="131"/>
      <c r="O1" s="131"/>
      <c r="P1" s="131"/>
      <c r="Q1" s="90"/>
      <c r="R1" s="90"/>
      <c r="S1" s="91"/>
      <c r="T1" s="186" t="s">
        <v>162</v>
      </c>
      <c r="U1" s="187" t="s">
        <v>163</v>
      </c>
      <c r="V1" s="187" t="s">
        <v>164</v>
      </c>
      <c r="W1" s="187" t="s">
        <v>165</v>
      </c>
      <c r="X1" s="187" t="s">
        <v>149</v>
      </c>
      <c r="Y1" s="187" t="s">
        <v>150</v>
      </c>
      <c r="Z1" s="187" t="s">
        <v>151</v>
      </c>
      <c r="AA1" s="187" t="s">
        <v>152</v>
      </c>
      <c r="AB1" s="187" t="s">
        <v>153</v>
      </c>
      <c r="AC1" s="187" t="s">
        <v>14</v>
      </c>
      <c r="AD1" s="187" t="s">
        <v>3</v>
      </c>
      <c r="AE1" s="187" t="s">
        <v>15</v>
      </c>
      <c r="AF1" s="187" t="s">
        <v>147</v>
      </c>
      <c r="AG1" s="187" t="s">
        <v>161</v>
      </c>
      <c r="AH1" s="195" t="s">
        <v>154</v>
      </c>
      <c r="AI1" s="195" t="s">
        <v>155</v>
      </c>
      <c r="AJ1" s="195" t="s">
        <v>156</v>
      </c>
      <c r="AK1" s="195" t="s">
        <v>157</v>
      </c>
      <c r="AL1" s="195" t="s">
        <v>158</v>
      </c>
      <c r="AM1" s="195" t="s">
        <v>159</v>
      </c>
      <c r="AN1" s="195" t="s">
        <v>160</v>
      </c>
      <c r="AO1" s="195" t="s">
        <v>170</v>
      </c>
      <c r="AP1" s="196" t="s">
        <v>166</v>
      </c>
    </row>
    <row r="2" spans="1:43" s="142" customFormat="1" ht="39" customHeight="1" thickTop="1" x14ac:dyDescent="0.25">
      <c r="A2" s="84" t="s">
        <v>0</v>
      </c>
      <c r="B2" s="85" t="s">
        <v>1</v>
      </c>
      <c r="C2" s="86"/>
      <c r="D2" s="82"/>
      <c r="E2" s="138" t="s">
        <v>194</v>
      </c>
      <c r="F2" s="141" t="s">
        <v>210</v>
      </c>
      <c r="G2" s="92"/>
      <c r="H2" s="132"/>
      <c r="I2" s="135"/>
      <c r="J2" s="136"/>
      <c r="K2" s="136"/>
      <c r="L2" s="136"/>
      <c r="M2" s="136"/>
      <c r="N2" s="136"/>
      <c r="O2" s="136"/>
      <c r="P2" s="136"/>
      <c r="Q2" s="127"/>
      <c r="R2" s="127"/>
      <c r="S2" s="93"/>
      <c r="T2" s="197" t="s">
        <v>214</v>
      </c>
      <c r="U2" s="188" t="str">
        <f>M17</f>
        <v>MCCB</v>
      </c>
      <c r="V2" s="188" t="str">
        <f t="shared" ref="V2" si="0">N17</f>
        <v>3P</v>
      </c>
      <c r="W2" s="188" t="str">
        <f>UPPER(O17)</f>
        <v>32</v>
      </c>
      <c r="X2" s="188" t="str">
        <f t="shared" ref="X2" si="1">P17</f>
        <v>36kA</v>
      </c>
      <c r="Y2" s="188" t="str">
        <f>Q17</f>
        <v>4x(1Cx300) Cu/XLPE/PVC</v>
      </c>
      <c r="Z2" s="188" t="str">
        <f>R17</f>
        <v>(1Cx300) Cu/PVC</v>
      </c>
      <c r="AA2" s="188" t="str">
        <f>S17</f>
        <v>IN CABLE TRAY</v>
      </c>
      <c r="AB2" s="188">
        <f t="shared" ref="AB2:AE3" si="2">H13</f>
        <v>0.8</v>
      </c>
      <c r="AC2" s="188">
        <f t="shared" ref="AC2:AE2" si="3">I12</f>
        <v>2</v>
      </c>
      <c r="AD2" s="188">
        <f t="shared" si="3"/>
        <v>3</v>
      </c>
      <c r="AE2" s="188">
        <f t="shared" si="3"/>
        <v>4</v>
      </c>
      <c r="AF2" s="188">
        <f>H14</f>
        <v>0.8</v>
      </c>
      <c r="AG2" s="188" t="str">
        <f>M12</f>
        <v>GHI CHÚ: 
- Chạy thử nghiệm ver1</v>
      </c>
      <c r="AH2" s="189">
        <f>ROW(C17)</f>
        <v>17</v>
      </c>
      <c r="AI2" s="189" cm="1">
        <f t="array" ref="AI2">ROW(11:11)</f>
        <v>11</v>
      </c>
      <c r="AJ2" s="188" t="s">
        <v>172</v>
      </c>
      <c r="AK2" s="188" t="s">
        <v>171</v>
      </c>
      <c r="AL2" s="188" t="s">
        <v>174</v>
      </c>
      <c r="AM2" s="188" t="s">
        <v>5</v>
      </c>
      <c r="AN2" s="188" t="s">
        <v>148</v>
      </c>
      <c r="AO2" s="189">
        <v>3</v>
      </c>
      <c r="AP2" s="190" t="s">
        <v>167</v>
      </c>
    </row>
    <row r="3" spans="1:43" s="143" customFormat="1" ht="45" customHeight="1" thickBot="1" x14ac:dyDescent="0.3">
      <c r="A3" s="84"/>
      <c r="B3" s="2" t="s">
        <v>2</v>
      </c>
      <c r="C3" s="81" t="s">
        <v>3</v>
      </c>
      <c r="D3" s="83" t="s">
        <v>11</v>
      </c>
      <c r="E3" s="138" t="s">
        <v>211</v>
      </c>
      <c r="F3" s="139" t="s">
        <v>208</v>
      </c>
      <c r="G3" s="140"/>
      <c r="H3" s="140"/>
      <c r="I3" s="140"/>
      <c r="J3" s="140"/>
      <c r="K3" s="140"/>
      <c r="L3" s="137"/>
      <c r="M3" s="137"/>
      <c r="N3" s="137"/>
      <c r="O3" s="137"/>
      <c r="P3" s="137"/>
      <c r="Q3" s="94"/>
      <c r="R3" s="94"/>
      <c r="S3" s="95"/>
      <c r="T3" s="198" t="s">
        <v>146</v>
      </c>
      <c r="U3" s="191"/>
      <c r="V3" s="191"/>
      <c r="W3" s="191" t="str">
        <f>SUBSTITUTE(W2,"A","")&amp;"/5A"</f>
        <v>32/5A</v>
      </c>
      <c r="X3" s="191"/>
      <c r="Y3" s="191"/>
      <c r="Z3" s="191"/>
      <c r="AA3" s="191"/>
      <c r="AB3" s="192">
        <f t="shared" si="2"/>
        <v>0.8</v>
      </c>
      <c r="AC3" s="192">
        <f t="shared" si="2"/>
        <v>1.6</v>
      </c>
      <c r="AD3" s="192">
        <f t="shared" si="2"/>
        <v>2.4000000000000004</v>
      </c>
      <c r="AE3" s="192">
        <f t="shared" si="2"/>
        <v>3.2</v>
      </c>
      <c r="AF3" s="193">
        <f>H15</f>
        <v>14.55</v>
      </c>
      <c r="AG3" s="193"/>
      <c r="AH3" s="193"/>
      <c r="AI3" s="192"/>
      <c r="AJ3" s="193"/>
      <c r="AK3" s="193"/>
      <c r="AL3" s="193"/>
      <c r="AM3" s="193"/>
      <c r="AN3" s="193"/>
      <c r="AO3" s="193" t="str" cm="1">
        <f t="array" ref="AO3">IF(SUMPRODUCT(COUNTIF(D6:D10, HasArrow)) &gt; 0, "Yes", "NO")</f>
        <v>NO</v>
      </c>
      <c r="AP3" s="194" t="s">
        <v>168</v>
      </c>
      <c r="AQ3" s="142"/>
    </row>
    <row r="4" spans="1:43" s="143" customFormat="1" ht="54.75" customHeight="1" x14ac:dyDescent="0.25">
      <c r="A4" s="3"/>
      <c r="B4" s="14" t="e">
        <f>VLOOKUP($A$1,#REF!,2,0)</f>
        <v>#REF!</v>
      </c>
      <c r="C4" s="3" t="e">
        <f>VLOOKUP(A1,#REF!,3,0)</f>
        <v>#REF!</v>
      </c>
      <c r="D4" s="74">
        <f>J1</f>
        <v>0</v>
      </c>
      <c r="E4" s="165" t="s">
        <v>207</v>
      </c>
      <c r="F4" s="165" t="s">
        <v>201</v>
      </c>
      <c r="G4" s="166"/>
      <c r="H4" s="167" t="s">
        <v>12</v>
      </c>
      <c r="I4" s="168"/>
      <c r="J4" s="168"/>
      <c r="K4" s="169"/>
      <c r="L4" s="170" t="s">
        <v>197</v>
      </c>
      <c r="M4" s="171" t="s">
        <v>198</v>
      </c>
      <c r="N4" s="172"/>
      <c r="O4" s="172"/>
      <c r="P4" s="172"/>
      <c r="Q4" s="173" t="s">
        <v>199</v>
      </c>
      <c r="R4" s="174"/>
      <c r="S4" s="174" t="s">
        <v>200</v>
      </c>
      <c r="T4" s="202" t="s">
        <v>216</v>
      </c>
      <c r="U4" s="213" t="s">
        <v>285</v>
      </c>
      <c r="V4" s="215" t="s">
        <v>286</v>
      </c>
      <c r="W4" s="213" t="s">
        <v>287</v>
      </c>
      <c r="X4" s="213" t="s">
        <v>288</v>
      </c>
    </row>
    <row r="5" spans="1:43" s="143" customFormat="1" ht="57.75" customHeight="1" thickBot="1" x14ac:dyDescent="0.3">
      <c r="A5" s="4"/>
      <c r="B5" s="4" t="str">
        <f>IF(D6="","",B4)</f>
        <v/>
      </c>
      <c r="C5" s="4" t="str">
        <f>IF(D6="","",C4)</f>
        <v/>
      </c>
      <c r="D5" s="75" t="s">
        <v>145</v>
      </c>
      <c r="E5" s="175"/>
      <c r="F5" s="175"/>
      <c r="G5" s="176"/>
      <c r="H5" s="177" t="s">
        <v>13</v>
      </c>
      <c r="I5" s="177" t="s">
        <v>14</v>
      </c>
      <c r="J5" s="177" t="s">
        <v>3</v>
      </c>
      <c r="K5" s="177" t="s">
        <v>15</v>
      </c>
      <c r="L5" s="178"/>
      <c r="M5" s="179" t="s">
        <v>16</v>
      </c>
      <c r="N5" s="179" t="s">
        <v>17</v>
      </c>
      <c r="O5" s="180" t="s">
        <v>196</v>
      </c>
      <c r="P5" s="179" t="s">
        <v>18</v>
      </c>
      <c r="Q5" s="181" t="s">
        <v>19</v>
      </c>
      <c r="R5" s="179" t="s">
        <v>212</v>
      </c>
      <c r="S5" s="174"/>
      <c r="T5" s="203"/>
      <c r="U5" s="214"/>
      <c r="V5" s="216"/>
      <c r="W5" s="214"/>
      <c r="X5" s="214"/>
    </row>
    <row r="6" spans="1:43" s="143" customFormat="1" ht="36.950000000000003" customHeight="1" thickTop="1" x14ac:dyDescent="0.25">
      <c r="A6" s="5"/>
      <c r="B6" s="6"/>
      <c r="C6" s="6"/>
      <c r="D6" s="13"/>
      <c r="E6" s="204" t="s">
        <v>271</v>
      </c>
      <c r="F6" s="205" t="s">
        <v>272</v>
      </c>
      <c r="G6" s="205" t="s">
        <v>273</v>
      </c>
      <c r="H6" s="206">
        <f t="shared" ref="H6:H7" si="4">ROUND(SUM(I6:K6),2)</f>
        <v>117.65</v>
      </c>
      <c r="I6" s="217">
        <f>IF(V6="1",U6,IF(V6="4",U6/3,""))</f>
        <v>39.215686274509807</v>
      </c>
      <c r="J6" s="217">
        <f>IF(V6="2",U6,IF(V6="4",U6/3,""))</f>
        <v>39.215686274509807</v>
      </c>
      <c r="K6" s="217">
        <f>IF(V6="3",U6,IF(V6="4",U6/3,""))</f>
        <v>39.215686274509807</v>
      </c>
      <c r="L6" s="206">
        <f>ROUND((MAX(I6,J6,K6)/0.22),2)</f>
        <v>178.25</v>
      </c>
      <c r="M6" s="207" t="s">
        <v>20</v>
      </c>
      <c r="N6" s="221" t="s">
        <v>21</v>
      </c>
      <c r="O6" s="222" t="s">
        <v>85</v>
      </c>
      <c r="P6" s="207" t="s">
        <v>23</v>
      </c>
      <c r="Q6" s="209" t="s">
        <v>293</v>
      </c>
      <c r="R6" s="210" t="s">
        <v>294</v>
      </c>
      <c r="S6" s="211" t="s">
        <v>32</v>
      </c>
      <c r="T6" s="201" t="s">
        <v>8</v>
      </c>
      <c r="U6" s="218">
        <f>100/0.85</f>
        <v>117.64705882352942</v>
      </c>
      <c r="V6" s="219" t="s">
        <v>292</v>
      </c>
      <c r="W6" s="220" t="e" cm="1">
        <f t="array" ref="W6">[2]!KIEMTRACAP(O6,Q6,R6,Cb_In)</f>
        <v>#VALUE!</v>
      </c>
      <c r="X6" s="220" t="str" cm="1">
        <f t="array" ref="X6">[2]!KiemTraOng3(Q6,R6,DKC,DKO,35,1)</f>
        <v>3x6 + 1x6  @D32 (27.2%)</v>
      </c>
    </row>
    <row r="7" spans="1:43" s="143" customFormat="1" ht="36.950000000000003" customHeight="1" x14ac:dyDescent="0.25">
      <c r="A7" s="5"/>
      <c r="B7" s="6"/>
      <c r="C7" s="6"/>
      <c r="D7" s="13"/>
      <c r="E7" s="204" t="s">
        <v>276</v>
      </c>
      <c r="F7" s="205" t="s">
        <v>272</v>
      </c>
      <c r="G7" s="205" t="s">
        <v>273</v>
      </c>
      <c r="H7" s="206">
        <f t="shared" si="4"/>
        <v>27.1</v>
      </c>
      <c r="I7" s="217">
        <f t="shared" ref="I7:I8" si="5">IF(V7="1",U7,IF(V7="4",U7/3,""))</f>
        <v>9.0333333333333332</v>
      </c>
      <c r="J7" s="217">
        <f t="shared" ref="J7:J8" si="6">IF(V7="2",U7,IF(V7="4",U7/3,""))</f>
        <v>9.0333333333333332</v>
      </c>
      <c r="K7" s="217">
        <f t="shared" ref="K7:K8" si="7">IF(V7="3",U7,IF(V7="4",U7/3,""))</f>
        <v>9.0333333333333332</v>
      </c>
      <c r="L7" s="206">
        <f>ROUND((MAX(I7,J7,K7)/0.22),2)</f>
        <v>41.06</v>
      </c>
      <c r="M7" s="207" t="s">
        <v>20</v>
      </c>
      <c r="N7" s="207" t="s">
        <v>21</v>
      </c>
      <c r="O7" s="208" t="s">
        <v>85</v>
      </c>
      <c r="P7" s="207" t="s">
        <v>23</v>
      </c>
      <c r="Q7" s="209" t="s">
        <v>274</v>
      </c>
      <c r="R7" s="210" t="s">
        <v>275</v>
      </c>
      <c r="S7" s="211" t="s">
        <v>32</v>
      </c>
      <c r="T7" s="201" t="s">
        <v>8</v>
      </c>
      <c r="U7" s="218">
        <v>27.1</v>
      </c>
      <c r="V7" s="219" t="s">
        <v>292</v>
      </c>
      <c r="W7" s="220" t="s">
        <v>290</v>
      </c>
      <c r="X7" s="220" t="s">
        <v>291</v>
      </c>
    </row>
    <row r="8" spans="1:43" s="143" customFormat="1" ht="36.950000000000003" customHeight="1" x14ac:dyDescent="0.25">
      <c r="A8" s="5"/>
      <c r="B8" s="6"/>
      <c r="C8" s="6"/>
      <c r="D8" s="13"/>
      <c r="E8" s="204" t="s">
        <v>277</v>
      </c>
      <c r="F8" s="212" t="s">
        <v>278</v>
      </c>
      <c r="G8" s="212" t="s">
        <v>279</v>
      </c>
      <c r="H8" s="206">
        <f>ROUND(SUM(I8:K8),2)</f>
        <v>27.1</v>
      </c>
      <c r="I8" s="217">
        <f t="shared" si="5"/>
        <v>9.0333333333333332</v>
      </c>
      <c r="J8" s="217">
        <f t="shared" si="6"/>
        <v>9.0333333333333332</v>
      </c>
      <c r="K8" s="217">
        <f t="shared" si="7"/>
        <v>9.0333333333333332</v>
      </c>
      <c r="L8" s="206">
        <f>ROUND((MAX(I8,J8,K8)/0.22),2)</f>
        <v>41.06</v>
      </c>
      <c r="M8" s="207" t="s">
        <v>6</v>
      </c>
      <c r="N8" s="207" t="s">
        <v>34</v>
      </c>
      <c r="O8" s="208" t="s">
        <v>35</v>
      </c>
      <c r="P8" s="207" t="s">
        <v>36</v>
      </c>
      <c r="Q8" s="209" t="s">
        <v>280</v>
      </c>
      <c r="R8" s="211" t="s">
        <v>281</v>
      </c>
      <c r="S8" s="211" t="s">
        <v>282</v>
      </c>
      <c r="T8" s="201" t="s">
        <v>6</v>
      </c>
      <c r="U8" s="218">
        <v>27.1</v>
      </c>
      <c r="V8" s="219" t="s">
        <v>292</v>
      </c>
      <c r="W8" s="220" t="s">
        <v>290</v>
      </c>
      <c r="X8" s="220" t="s">
        <v>291</v>
      </c>
    </row>
    <row r="9" spans="1:43" s="143" customFormat="1" ht="36.950000000000003" customHeight="1" x14ac:dyDescent="0.25">
      <c r="A9" s="5"/>
      <c r="B9" s="6"/>
      <c r="C9" s="6"/>
      <c r="D9" s="13"/>
      <c r="E9" s="204" t="s">
        <v>188</v>
      </c>
      <c r="F9" s="205" t="s">
        <v>283</v>
      </c>
      <c r="G9" s="212" t="s">
        <v>284</v>
      </c>
      <c r="H9" s="206" t="e">
        <f t="shared" ref="H9" si="8">ROUND(SUM(I9:K9),2)</f>
        <v>#DIV/0!</v>
      </c>
      <c r="I9" s="206"/>
      <c r="J9" s="206" t="e">
        <f>ROUND(U9/$V$3,2)</f>
        <v>#DIV/0!</v>
      </c>
      <c r="K9" s="206"/>
      <c r="L9" s="206" t="e">
        <f>ROUND((MAX(I9,J9,K9)/0.22),2)</f>
        <v>#DIV/0!</v>
      </c>
      <c r="M9" s="207" t="s">
        <v>6</v>
      </c>
      <c r="N9" s="207" t="s">
        <v>34</v>
      </c>
      <c r="O9" s="208" t="s">
        <v>35</v>
      </c>
      <c r="P9" s="207" t="s">
        <v>36</v>
      </c>
      <c r="Q9" s="207"/>
      <c r="R9" s="207"/>
      <c r="S9" s="207"/>
      <c r="T9" s="201" t="s">
        <v>6</v>
      </c>
      <c r="U9" s="218">
        <v>0.5</v>
      </c>
      <c r="V9" s="219" t="s">
        <v>289</v>
      </c>
      <c r="W9" s="220" t="s">
        <v>290</v>
      </c>
      <c r="X9" s="220" t="s">
        <v>291</v>
      </c>
    </row>
    <row r="10" spans="1:43" s="143" customFormat="1" ht="36.950000000000003" customHeight="1" x14ac:dyDescent="0.25">
      <c r="A10" s="5"/>
      <c r="B10" s="6"/>
      <c r="C10" s="6"/>
      <c r="D10" s="13"/>
      <c r="E10" s="104"/>
      <c r="F10" s="97"/>
      <c r="G10" s="98"/>
      <c r="H10" s="99"/>
      <c r="I10" s="99"/>
      <c r="J10" s="99"/>
      <c r="K10" s="99"/>
      <c r="L10" s="99"/>
      <c r="M10" s="100"/>
      <c r="N10" s="101"/>
      <c r="O10" s="101"/>
      <c r="P10" s="102"/>
      <c r="Q10" s="103"/>
      <c r="R10" s="101"/>
      <c r="S10" s="99"/>
      <c r="T10" s="201"/>
      <c r="U10" s="148"/>
      <c r="V10" s="147"/>
      <c r="W10" s="220" t="s">
        <v>290</v>
      </c>
      <c r="X10" s="220" t="s">
        <v>291</v>
      </c>
    </row>
    <row r="11" spans="1:43" s="143" customFormat="1" ht="36.75" customHeight="1" x14ac:dyDescent="0.25">
      <c r="A11" s="5"/>
      <c r="B11" s="6"/>
      <c r="C11" s="6"/>
      <c r="D11" s="13"/>
      <c r="E11" s="105"/>
      <c r="F11" s="97"/>
      <c r="G11" s="98"/>
      <c r="H11" s="99"/>
      <c r="I11" s="99"/>
      <c r="J11" s="99"/>
      <c r="K11" s="101"/>
      <c r="L11" s="106"/>
      <c r="M11" s="107"/>
      <c r="N11" s="107"/>
      <c r="O11" s="107"/>
      <c r="P11" s="107"/>
      <c r="Q11" s="107"/>
      <c r="R11" s="107"/>
      <c r="S11" s="108"/>
      <c r="T11" s="144"/>
      <c r="U11" s="149"/>
    </row>
    <row r="12" spans="1:43" s="152" customFormat="1" ht="34.15" customHeight="1" x14ac:dyDescent="0.25">
      <c r="A12" s="7"/>
      <c r="B12" s="6" t="str">
        <f t="shared" ref="B12:B15" si="9">IF(D12="","",$B$5)</f>
        <v/>
      </c>
      <c r="C12" s="6" t="e">
        <f>IF(D12="","",INDEX($C$5:$C$147,1)-(ROW()-6)*1000)+1000</f>
        <v>#VALUE!</v>
      </c>
      <c r="D12" s="79"/>
      <c r="E12" s="109"/>
      <c r="F12" s="110" t="s">
        <v>202</v>
      </c>
      <c r="G12" s="111"/>
      <c r="H12" s="112">
        <v>1</v>
      </c>
      <c r="I12" s="112">
        <v>2</v>
      </c>
      <c r="J12" s="112">
        <v>3</v>
      </c>
      <c r="K12" s="113">
        <v>4</v>
      </c>
      <c r="L12" s="114"/>
      <c r="M12" s="128" t="s">
        <v>206</v>
      </c>
      <c r="N12" s="128"/>
      <c r="O12" s="128"/>
      <c r="P12" s="128"/>
      <c r="Q12" s="128"/>
      <c r="R12" s="128"/>
      <c r="S12" s="115"/>
      <c r="T12" s="150"/>
      <c r="U12" s="151"/>
      <c r="V12" s="151"/>
    </row>
    <row r="13" spans="1:43" s="152" customFormat="1" ht="34.15" customHeight="1" x14ac:dyDescent="0.25">
      <c r="A13" s="7"/>
      <c r="B13" s="6" t="str">
        <f t="shared" si="9"/>
        <v/>
      </c>
      <c r="C13" s="6" t="e">
        <f>IF(D13="","",INDEX($C$5:$C$147,1)-(ROW()-6)*1000)+1000</f>
        <v>#VALUE!</v>
      </c>
      <c r="D13" s="80"/>
      <c r="E13" s="109"/>
      <c r="F13" s="110" t="s">
        <v>203</v>
      </c>
      <c r="G13" s="111"/>
      <c r="H13" s="112">
        <v>0.8</v>
      </c>
      <c r="I13" s="113"/>
      <c r="J13" s="116"/>
      <c r="K13" s="116"/>
      <c r="L13" s="114"/>
      <c r="M13" s="128"/>
      <c r="N13" s="128"/>
      <c r="O13" s="128"/>
      <c r="P13" s="128"/>
      <c r="Q13" s="128"/>
      <c r="R13" s="128"/>
      <c r="S13" s="115"/>
      <c r="T13" s="150"/>
      <c r="U13" s="151"/>
      <c r="V13" s="151"/>
    </row>
    <row r="14" spans="1:43" s="152" customFormat="1" ht="34.15" customHeight="1" x14ac:dyDescent="0.25">
      <c r="A14" s="7"/>
      <c r="B14" s="6" t="str">
        <f t="shared" si="9"/>
        <v/>
      </c>
      <c r="C14" s="6" t="e">
        <f>IF(D14="","",INDEX($C$5:$C$147,1)-(ROW()-6)*1000)+1000</f>
        <v>#VALUE!</v>
      </c>
      <c r="D14" s="80"/>
      <c r="E14" s="109"/>
      <c r="F14" s="110" t="s">
        <v>204</v>
      </c>
      <c r="G14" s="111"/>
      <c r="H14" s="112">
        <f>H12*H13</f>
        <v>0.8</v>
      </c>
      <c r="I14" s="112">
        <f>I12*H13</f>
        <v>1.6</v>
      </c>
      <c r="J14" s="112">
        <f>J12*H13</f>
        <v>2.4000000000000004</v>
      </c>
      <c r="K14" s="113">
        <f>K12*H13</f>
        <v>3.2</v>
      </c>
      <c r="L14" s="114"/>
      <c r="M14" s="128"/>
      <c r="N14" s="128"/>
      <c r="O14" s="128"/>
      <c r="P14" s="128"/>
      <c r="Q14" s="128"/>
      <c r="R14" s="128"/>
      <c r="S14" s="115"/>
      <c r="T14" s="150"/>
      <c r="U14" s="151"/>
      <c r="V14" s="151"/>
    </row>
    <row r="15" spans="1:43" s="152" customFormat="1" ht="34.15" customHeight="1" x14ac:dyDescent="0.25">
      <c r="A15" s="7"/>
      <c r="B15" s="6" t="str">
        <f t="shared" si="9"/>
        <v/>
      </c>
      <c r="C15" s="6" t="e">
        <f>IF(D15="","",INDEX($C$5:$C$147,1)-(ROW()-6)*1000)+1000</f>
        <v>#VALUE!</v>
      </c>
      <c r="D15" s="80"/>
      <c r="E15" s="109"/>
      <c r="F15" s="110" t="s">
        <v>205</v>
      </c>
      <c r="G15" s="111"/>
      <c r="H15" s="112">
        <f>ROUND(MAX(I14:K14)/0.22,2)</f>
        <v>14.55</v>
      </c>
      <c r="I15" s="113"/>
      <c r="J15" s="116"/>
      <c r="K15" s="116"/>
      <c r="L15" s="117"/>
      <c r="M15" s="118"/>
      <c r="N15" s="118"/>
      <c r="O15" s="118"/>
      <c r="P15" s="118"/>
      <c r="Q15" s="118"/>
      <c r="R15" s="118"/>
      <c r="S15" s="119"/>
      <c r="T15" s="150"/>
      <c r="U15" s="151"/>
      <c r="V15" s="151"/>
    </row>
    <row r="16" spans="1:43" s="152" customFormat="1" ht="34.15" customHeight="1" x14ac:dyDescent="0.25">
      <c r="A16" s="7"/>
      <c r="B16" s="6"/>
      <c r="C16" s="6"/>
      <c r="D16" s="78"/>
      <c r="E16" s="109"/>
      <c r="F16" s="120"/>
      <c r="G16" s="121" t="s">
        <v>24</v>
      </c>
      <c r="H16" s="121"/>
      <c r="I16" s="121"/>
      <c r="J16" s="121"/>
      <c r="K16" s="121"/>
      <c r="L16" s="121"/>
      <c r="M16" s="121" t="s">
        <v>25</v>
      </c>
      <c r="N16" s="121"/>
      <c r="O16" s="121"/>
      <c r="P16" s="121"/>
      <c r="Q16" s="121" t="s">
        <v>26</v>
      </c>
      <c r="R16" s="121"/>
      <c r="S16" s="122" t="s">
        <v>27</v>
      </c>
      <c r="T16" s="153"/>
      <c r="U16" s="151"/>
      <c r="V16" s="151"/>
    </row>
    <row r="17" spans="1:22" s="152" customFormat="1" ht="34.15" customHeight="1" x14ac:dyDescent="0.25">
      <c r="A17" s="7"/>
      <c r="B17" s="6" t="str">
        <f t="shared" ref="B17" si="10">IF(D17="","",$B$5)</f>
        <v/>
      </c>
      <c r="C17" s="6" t="str">
        <f>IF(D17="","",INDEX($C$5:$C$147,1)-(ROW()-6)*1000)</f>
        <v/>
      </c>
      <c r="D17" s="78"/>
      <c r="E17" s="109"/>
      <c r="F17" s="120"/>
      <c r="G17" s="123" t="str">
        <f>"FROM " &amp;T3</f>
        <v>FROM LV-MSB</v>
      </c>
      <c r="H17" s="124"/>
      <c r="I17" s="124"/>
      <c r="J17" s="124"/>
      <c r="K17" s="124"/>
      <c r="L17" s="125"/>
      <c r="M17" s="126" t="s">
        <v>20</v>
      </c>
      <c r="N17" s="126" t="s">
        <v>21</v>
      </c>
      <c r="O17" s="126">
        <v>32</v>
      </c>
      <c r="P17" s="126" t="s">
        <v>95</v>
      </c>
      <c r="Q17" s="126" t="s">
        <v>185</v>
      </c>
      <c r="R17" s="126" t="s">
        <v>186</v>
      </c>
      <c r="S17" s="126" t="s">
        <v>32</v>
      </c>
      <c r="T17" s="154"/>
      <c r="U17" s="151"/>
      <c r="V17" s="151"/>
    </row>
    <row r="18" spans="1:22" s="163" customFormat="1" ht="19.5" customHeight="1" x14ac:dyDescent="0.25">
      <c r="A18" s="8"/>
      <c r="B18" s="9" t="str">
        <f>$B$12</f>
        <v/>
      </c>
      <c r="C18" s="9" t="e">
        <f>C12-0.3931</f>
        <v>#VALUE!</v>
      </c>
      <c r="D18" s="10" t="s">
        <v>33</v>
      </c>
      <c r="E18" s="155"/>
      <c r="F18" s="156"/>
      <c r="G18" s="157"/>
      <c r="H18" s="158"/>
      <c r="I18" s="158"/>
      <c r="J18" s="158"/>
      <c r="K18" s="158"/>
      <c r="L18" s="158"/>
      <c r="M18" s="159"/>
      <c r="N18" s="159"/>
      <c r="O18" s="159"/>
      <c r="P18" s="159"/>
      <c r="Q18" s="160">
        <f>M11</f>
        <v>0</v>
      </c>
      <c r="R18" s="159"/>
      <c r="S18" s="159"/>
      <c r="T18" s="161"/>
      <c r="U18" s="162"/>
      <c r="V18" s="162"/>
    </row>
  </sheetData>
  <sheetProtection formatCells="0" formatColumns="0" formatRows="0" insertRows="0" insertHyperlinks="0" deleteRows="0" sort="0" autoFilter="0" pivotTables="0"/>
  <mergeCells count="20">
    <mergeCell ref="G17:L17"/>
    <mergeCell ref="V4:V5"/>
    <mergeCell ref="W4:W5"/>
    <mergeCell ref="X4:X5"/>
    <mergeCell ref="M12:S15"/>
    <mergeCell ref="G16:L16"/>
    <mergeCell ref="M16:P16"/>
    <mergeCell ref="Q16:R16"/>
    <mergeCell ref="L4:L5"/>
    <mergeCell ref="M4:P4"/>
    <mergeCell ref="Q4:R4"/>
    <mergeCell ref="S4:S5"/>
    <mergeCell ref="T4:T5"/>
    <mergeCell ref="U4:U5"/>
    <mergeCell ref="A2:A3"/>
    <mergeCell ref="B2:C2"/>
    <mergeCell ref="F3:K3"/>
    <mergeCell ref="E4:E5"/>
    <mergeCell ref="F4:F5"/>
    <mergeCell ref="H4:K4"/>
  </mergeCells>
  <conditionalFormatting sqref="T1:T3 T6:T1048576">
    <cfRule type="cellIs" dxfId="9" priority="1" operator="equal">
      <formula>"BMS"</formula>
    </cfRule>
    <cfRule type="cellIs" dxfId="8" priority="2" operator="equal">
      <formula>"MCB"</formula>
    </cfRule>
    <cfRule type="cellIs" dxfId="7" priority="3" operator="equal">
      <formula>"RCD"</formula>
    </cfRule>
    <cfRule type="cellIs" dxfId="6" priority="4" operator="equal">
      <formula>"SPC"</formula>
    </cfRule>
  </conditionalFormatting>
  <dataValidations count="9">
    <dataValidation type="list" allowBlank="1" showInputMessage="1" showErrorMessage="1" sqref="V6:V9" xr:uid="{64291C44-607B-443C-9EA4-0A3131763F2C}">
      <formula1>"1,2,3,4"</formula1>
    </dataValidation>
    <dataValidation type="list" allowBlank="1" showInputMessage="1" showErrorMessage="1" sqref="T6:T9 D6 D7 D8 D9 D10 D11 T10" xr:uid="{2DFC6A93-DA90-4725-A41F-D3ACC76B263F}">
      <formula1>ListBlock</formula1>
    </dataValidation>
    <dataValidation type="list" allowBlank="1" showInputMessage="1" showErrorMessage="1" sqref="T11" xr:uid="{93AB2A96-0D45-4DAF-98E3-515BD2E90C1E}">
      <formula1>ListBlock</formula1>
    </dataValidation>
    <dataValidation type="list" allowBlank="1" showInputMessage="1" showErrorMessage="1" sqref="P17" xr:uid="{9A1B8D8B-8424-4ADD-A155-152D040363E3}">
      <formula1>cb_ISC</formula1>
    </dataValidation>
    <dataValidation type="list" allowBlank="1" showInputMessage="1" showErrorMessage="1" sqref="O17" xr:uid="{84DDB23B-62E4-4CB9-9F05-FDBAA84F81AB}">
      <formula1>CB_Rating</formula1>
    </dataValidation>
    <dataValidation type="list" allowBlank="1" showInputMessage="1" showErrorMessage="1" sqref="N17" xr:uid="{85EBA101-2FB9-4CA3-A96F-BB37F0E59302}">
      <formula1>CB_Pole</formula1>
    </dataValidation>
    <dataValidation type="list" allowBlank="1" showInputMessage="1" showErrorMessage="1" sqref="M17" xr:uid="{0AF98632-FD45-45FB-ACF6-F1B2AFE0EDAC}">
      <formula1>CB_TYPE</formula1>
    </dataValidation>
    <dataValidation type="list" allowBlank="1" showInputMessage="1" showErrorMessage="1" sqref="T2" xr:uid="{D3087218-E183-4F57-A3F0-4478E8DC16E5}">
      <formula1>SL</formula1>
    </dataValidation>
    <dataValidation type="list" allowBlank="1" showInputMessage="1" showErrorMessage="1" sqref="T3" xr:uid="{31196AC5-BB85-463A-BCD0-E87CEDDBC487}">
      <formula1>INDIRECT("Table17[ListPanel]")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16" fitToHeight="0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C502C-AD57-4E1E-9E73-7C565C00CECA}">
  <sheetPr codeName="Sheet4">
    <pageSetUpPr fitToPage="1"/>
  </sheetPr>
  <dimension ref="A1:BA175"/>
  <sheetViews>
    <sheetView topLeftCell="AO1" zoomScale="70" zoomScaleNormal="70" workbookViewId="0">
      <selection activeCell="AV25" sqref="AV25"/>
    </sheetView>
  </sheetViews>
  <sheetFormatPr defaultColWidth="10.28515625" defaultRowHeight="15" x14ac:dyDescent="0.25"/>
  <cols>
    <col min="1" max="1" width="22" style="17" customWidth="1"/>
    <col min="2" max="2" width="79.7109375" style="17" customWidth="1"/>
    <col min="3" max="3" width="14.5703125" style="17" customWidth="1"/>
    <col min="4" max="6" width="11.7109375" style="17" customWidth="1"/>
    <col min="7" max="7" width="18.5703125" style="17" customWidth="1"/>
    <col min="8" max="8" width="18.140625" style="17" customWidth="1"/>
    <col min="9" max="9" width="11.28515625" style="17" customWidth="1"/>
    <col min="10" max="10" width="14.85546875" style="17" customWidth="1"/>
    <col min="11" max="11" width="12.140625" style="17" customWidth="1"/>
    <col min="12" max="12" width="41.85546875" style="20" customWidth="1"/>
    <col min="13" max="13" width="30.140625" style="17" customWidth="1"/>
    <col min="14" max="14" width="40.85546875" style="17" customWidth="1"/>
    <col min="15" max="15" width="10.28515625" style="17"/>
    <col min="16" max="16" width="15.85546875" style="59" customWidth="1"/>
    <col min="17" max="17" width="12.42578125" style="59" customWidth="1"/>
    <col min="18" max="18" width="34.28515625" style="59" customWidth="1"/>
    <col min="19" max="19" width="37.85546875" style="59" bestFit="1" customWidth="1"/>
    <col min="20" max="20" width="27.5703125" style="59" customWidth="1"/>
    <col min="21" max="22" width="10.28515625" style="59"/>
    <col min="23" max="42" width="10.28515625" style="17"/>
    <col min="43" max="43" width="12.85546875" style="17" customWidth="1"/>
    <col min="44" max="45" width="10.28515625" style="17"/>
    <col min="46" max="46" width="17.85546875" style="17" customWidth="1"/>
    <col min="47" max="47" width="10.28515625" style="17"/>
    <col min="48" max="48" width="17" style="17" customWidth="1"/>
    <col min="49" max="49" width="10.28515625" style="17"/>
    <col min="50" max="50" width="16.42578125" style="17" customWidth="1"/>
    <col min="51" max="52" width="10.28515625" style="17"/>
    <col min="53" max="53" width="38.5703125" style="17" customWidth="1"/>
    <col min="54" max="16384" width="10.28515625" style="17"/>
  </cols>
  <sheetData>
    <row r="1" spans="1:53" s="15" customFormat="1" ht="42.75" customHeight="1" thickBot="1" x14ac:dyDescent="0.3">
      <c r="A1" s="15" t="s">
        <v>43</v>
      </c>
      <c r="L1" s="16"/>
    </row>
    <row r="2" spans="1:53" ht="81" customHeight="1" thickBot="1" x14ac:dyDescent="0.3">
      <c r="A2" s="223" t="s">
        <v>44</v>
      </c>
      <c r="B2" s="224" t="s">
        <v>45</v>
      </c>
      <c r="C2" s="225" t="s">
        <v>46</v>
      </c>
      <c r="E2" s="18" t="s">
        <v>47</v>
      </c>
      <c r="G2" s="18" t="s">
        <v>48</v>
      </c>
      <c r="I2" s="18" t="s">
        <v>49</v>
      </c>
      <c r="K2" s="19" t="s">
        <v>50</v>
      </c>
      <c r="M2" s="18" t="s">
        <v>51</v>
      </c>
      <c r="P2" s="21" t="s">
        <v>52</v>
      </c>
      <c r="Q2" s="22" t="s">
        <v>53</v>
      </c>
      <c r="R2" s="22" t="s">
        <v>54</v>
      </c>
      <c r="S2" s="22" t="s">
        <v>55</v>
      </c>
      <c r="T2" s="23" t="s">
        <v>56</v>
      </c>
      <c r="U2" s="24" t="s">
        <v>57</v>
      </c>
      <c r="V2" s="15"/>
      <c r="W2" s="25" t="s">
        <v>58</v>
      </c>
      <c r="X2" s="25" t="s">
        <v>59</v>
      </c>
      <c r="Y2" s="15"/>
      <c r="Z2" s="15"/>
      <c r="AA2" s="15"/>
      <c r="AB2" s="15"/>
      <c r="AC2" s="15"/>
      <c r="AD2" s="15"/>
      <c r="AG2" s="87" t="s">
        <v>60</v>
      </c>
      <c r="AH2" s="87"/>
      <c r="AI2" s="87"/>
      <c r="AJ2" s="87"/>
      <c r="AK2" s="87" t="s">
        <v>61</v>
      </c>
      <c r="AL2" s="87"/>
      <c r="AM2" s="87"/>
      <c r="AN2" s="87"/>
      <c r="AO2" s="15"/>
      <c r="AQ2" s="15"/>
      <c r="AR2" s="15"/>
      <c r="AS2" s="15"/>
      <c r="AT2" s="15"/>
      <c r="AU2" s="15"/>
      <c r="AV2" s="15"/>
      <c r="AW2" s="15"/>
      <c r="AX2" s="15"/>
    </row>
    <row r="3" spans="1:53" ht="29.25" customHeight="1" thickTop="1" x14ac:dyDescent="0.25">
      <c r="A3" s="226" t="s">
        <v>62</v>
      </c>
      <c r="B3" s="227">
        <v>1.5</v>
      </c>
      <c r="C3" s="228">
        <v>1.5</v>
      </c>
      <c r="E3" s="26" t="str">
        <f>'Spec. Cable'!$A3</f>
        <v>10A</v>
      </c>
      <c r="G3" s="27" t="s">
        <v>38</v>
      </c>
      <c r="I3" s="27"/>
      <c r="K3" s="28" t="s">
        <v>6</v>
      </c>
      <c r="M3" s="27">
        <v>1</v>
      </c>
      <c r="P3" s="29" t="s">
        <v>63</v>
      </c>
      <c r="Q3" s="30"/>
      <c r="R3" s="30"/>
      <c r="S3" s="30"/>
      <c r="T3" s="31"/>
      <c r="U3" s="30"/>
      <c r="V3" s="15"/>
      <c r="W3" s="32" t="s">
        <v>64</v>
      </c>
      <c r="X3" s="32" t="s">
        <v>65</v>
      </c>
      <c r="Y3" s="15"/>
      <c r="Z3" s="15"/>
      <c r="AA3" s="15"/>
      <c r="AB3" s="15"/>
      <c r="AC3" s="15"/>
      <c r="AD3" s="15"/>
      <c r="AG3" s="33" t="s">
        <v>0</v>
      </c>
      <c r="AH3" s="34" t="s">
        <v>66</v>
      </c>
      <c r="AI3" s="34" t="s">
        <v>67</v>
      </c>
      <c r="AJ3" s="34" t="s">
        <v>68</v>
      </c>
      <c r="AK3" s="34" t="s">
        <v>69</v>
      </c>
      <c r="AL3" s="34" t="s">
        <v>67</v>
      </c>
      <c r="AM3" s="34" t="s">
        <v>68</v>
      </c>
      <c r="AN3" s="35" t="s">
        <v>70</v>
      </c>
      <c r="AO3" s="15"/>
      <c r="AQ3" t="s">
        <v>213</v>
      </c>
      <c r="AR3" s="15"/>
      <c r="AS3" s="15"/>
      <c r="AT3" s="11" t="s">
        <v>176</v>
      </c>
      <c r="AU3" s="11"/>
      <c r="AV3" s="11" t="s">
        <v>180</v>
      </c>
      <c r="AW3" s="11"/>
      <c r="AX3" s="77" t="s">
        <v>181</v>
      </c>
      <c r="AY3" s="11"/>
      <c r="BA3" s="183" t="s">
        <v>215</v>
      </c>
    </row>
    <row r="4" spans="1:53" x14ac:dyDescent="0.25">
      <c r="A4" s="229" t="s">
        <v>35</v>
      </c>
      <c r="B4" s="68">
        <v>2.5</v>
      </c>
      <c r="C4" s="230">
        <v>2.5</v>
      </c>
      <c r="E4" s="26" t="str">
        <f>'Spec. Cable'!$A4</f>
        <v>16A</v>
      </c>
      <c r="G4" s="36" t="s">
        <v>34</v>
      </c>
      <c r="I4" s="36" t="s">
        <v>36</v>
      </c>
      <c r="K4" s="28" t="s">
        <v>37</v>
      </c>
      <c r="M4" s="27">
        <v>2</v>
      </c>
      <c r="P4" s="37">
        <v>1.5</v>
      </c>
      <c r="Q4" s="38">
        <v>3.2</v>
      </c>
      <c r="R4" s="39">
        <v>5.3</v>
      </c>
      <c r="S4" s="40">
        <v>6.4</v>
      </c>
      <c r="T4" s="40">
        <v>6.4</v>
      </c>
      <c r="U4" s="40"/>
      <c r="V4" s="15"/>
      <c r="W4" s="32" t="s">
        <v>71</v>
      </c>
      <c r="X4" s="41" t="s">
        <v>72</v>
      </c>
      <c r="Y4" s="15"/>
      <c r="Z4" s="15"/>
      <c r="AA4" s="15"/>
      <c r="AB4" s="15"/>
      <c r="AC4" s="15"/>
      <c r="AD4" s="15"/>
      <c r="AG4" s="42">
        <v>1</v>
      </c>
      <c r="AH4" s="43">
        <v>16</v>
      </c>
      <c r="AI4" s="43">
        <v>1.2</v>
      </c>
      <c r="AJ4" s="43">
        <f>AH4-AI4*2</f>
        <v>13.6</v>
      </c>
      <c r="AK4" s="44" t="s">
        <v>73</v>
      </c>
      <c r="AL4" s="43"/>
      <c r="AM4" s="43">
        <v>25</v>
      </c>
      <c r="AN4" s="45"/>
      <c r="AO4" s="15"/>
      <c r="AQ4" s="182" t="s">
        <v>214</v>
      </c>
      <c r="AR4" s="15"/>
      <c r="AS4" s="15"/>
      <c r="AT4" s="11" t="s">
        <v>6</v>
      </c>
      <c r="AU4" s="12"/>
      <c r="AV4" s="235" t="s">
        <v>5</v>
      </c>
      <c r="AW4" s="12"/>
      <c r="AX4" s="76" t="str" cm="1">
        <f t="array" ref="AX4:AX17">_xlfn.VSTACK(Table13[No Arrow],Table164[Has Arrow])</f>
        <v>MCB</v>
      </c>
      <c r="AY4" s="12"/>
      <c r="BA4" s="184" t="str" cm="1">
        <f t="array" ref="BA4">INDEX(TRANSPOSE(DanhSachSheet), ROW()-ROW(Table17[#Headers]))</f>
        <v>LV-MSB1</v>
      </c>
    </row>
    <row r="5" spans="1:53" x14ac:dyDescent="0.25">
      <c r="A5" s="226" t="s">
        <v>74</v>
      </c>
      <c r="B5" s="227" t="s">
        <v>75</v>
      </c>
      <c r="C5" s="228" t="s">
        <v>75</v>
      </c>
      <c r="E5" s="26" t="str">
        <f>'Spec. Cable'!$A5</f>
        <v>20A</v>
      </c>
      <c r="G5" s="36" t="s">
        <v>76</v>
      </c>
      <c r="I5" s="36" t="s">
        <v>77</v>
      </c>
      <c r="K5" s="28" t="s">
        <v>20</v>
      </c>
      <c r="M5" s="27">
        <v>3</v>
      </c>
      <c r="P5" s="37">
        <v>2.5</v>
      </c>
      <c r="Q5" s="38">
        <v>3.6</v>
      </c>
      <c r="R5" s="39">
        <v>5.7</v>
      </c>
      <c r="S5" s="40">
        <v>6.9</v>
      </c>
      <c r="T5" s="40">
        <v>6.9</v>
      </c>
      <c r="U5" s="40"/>
      <c r="V5" s="15"/>
      <c r="W5" s="32" t="s">
        <v>78</v>
      </c>
      <c r="X5" s="46" t="s">
        <v>79</v>
      </c>
      <c r="Y5" s="15"/>
      <c r="Z5" s="15"/>
      <c r="AA5" s="15"/>
      <c r="AB5" s="15"/>
      <c r="AC5" s="15"/>
      <c r="AD5" s="15"/>
      <c r="AG5" s="42">
        <v>2</v>
      </c>
      <c r="AH5" s="43">
        <v>20</v>
      </c>
      <c r="AI5" s="43">
        <v>1.4</v>
      </c>
      <c r="AJ5" s="43">
        <f t="shared" ref="AJ5:AJ10" si="0">AH5-AI5*2</f>
        <v>17.2</v>
      </c>
      <c r="AK5" s="44" t="s">
        <v>80</v>
      </c>
      <c r="AL5" s="43"/>
      <c r="AM5" s="43">
        <v>30</v>
      </c>
      <c r="AN5" s="45"/>
      <c r="AO5" s="15"/>
      <c r="AQ5" s="15"/>
      <c r="AR5" s="15"/>
      <c r="AS5" s="15"/>
      <c r="AT5" s="11" t="s">
        <v>7</v>
      </c>
      <c r="AU5" s="11"/>
      <c r="AV5" s="235" t="s">
        <v>8</v>
      </c>
      <c r="AW5" s="11"/>
      <c r="AX5" t="str">
        <v>RCD</v>
      </c>
      <c r="AY5" s="11"/>
      <c r="BA5" s="184" t="str" cm="1">
        <f t="array" ref="BA5">INDEX(TRANSPOSE(DanhSachSheet), ROW()-ROW(Table17[#Headers]))</f>
        <v>MCP-B2F-FAF.Z1</v>
      </c>
    </row>
    <row r="6" spans="1:53" x14ac:dyDescent="0.25">
      <c r="A6" s="229" t="s">
        <v>39</v>
      </c>
      <c r="B6" s="68" t="s">
        <v>75</v>
      </c>
      <c r="C6" s="230" t="s">
        <v>75</v>
      </c>
      <c r="E6" s="26" t="str">
        <f>'Spec. Cable'!$A6</f>
        <v>25A</v>
      </c>
      <c r="G6" s="36" t="s">
        <v>21</v>
      </c>
      <c r="I6" s="36" t="s">
        <v>29</v>
      </c>
      <c r="K6" s="28" t="s">
        <v>81</v>
      </c>
      <c r="M6" s="27">
        <v>4</v>
      </c>
      <c r="P6" s="47">
        <v>4</v>
      </c>
      <c r="Q6" s="38">
        <v>4.5999999999999996</v>
      </c>
      <c r="R6" s="39">
        <v>6.3</v>
      </c>
      <c r="S6" s="40">
        <v>7.4</v>
      </c>
      <c r="T6" s="40">
        <v>7.4</v>
      </c>
      <c r="U6" s="40"/>
      <c r="V6" s="15"/>
      <c r="W6" s="32" t="s">
        <v>82</v>
      </c>
      <c r="X6" s="46" t="s">
        <v>83</v>
      </c>
      <c r="Y6" s="15"/>
      <c r="Z6" s="15"/>
      <c r="AA6" s="15"/>
      <c r="AB6" s="15"/>
      <c r="AC6" s="15"/>
      <c r="AD6" s="15"/>
      <c r="AG6" s="42">
        <v>3</v>
      </c>
      <c r="AH6" s="43">
        <v>25</v>
      </c>
      <c r="AI6" s="43">
        <v>1.5</v>
      </c>
      <c r="AJ6" s="43">
        <f t="shared" si="0"/>
        <v>22</v>
      </c>
      <c r="AK6" s="44" t="s">
        <v>84</v>
      </c>
      <c r="AL6" s="43"/>
      <c r="AM6" s="43">
        <v>40</v>
      </c>
      <c r="AN6" s="45"/>
      <c r="AO6" s="15"/>
      <c r="AQ6" s="15"/>
      <c r="AR6" s="15"/>
      <c r="AS6" s="15"/>
      <c r="AT6" s="11" t="s">
        <v>178</v>
      </c>
      <c r="AU6" s="11"/>
      <c r="AV6" s="235" t="s">
        <v>42</v>
      </c>
      <c r="AW6" s="11"/>
      <c r="AX6" t="str">
        <v>PN.WALL</v>
      </c>
      <c r="AY6" s="11"/>
      <c r="BA6" s="184" t="str" cm="1">
        <f t="array" ref="BA6">INDEX(TRANSPOSE(DanhSachSheet), ROW()-ROW(Table17[#Headers]))</f>
        <v>MCP-B2F-FAF.Z1 (3)</v>
      </c>
    </row>
    <row r="7" spans="1:53" x14ac:dyDescent="0.25">
      <c r="A7" s="226" t="s">
        <v>85</v>
      </c>
      <c r="B7" s="227" t="s">
        <v>40</v>
      </c>
      <c r="C7" s="228" t="s">
        <v>40</v>
      </c>
      <c r="E7" s="26" t="str">
        <f>'Spec. Cable'!$A7</f>
        <v>32A</v>
      </c>
      <c r="G7" s="36" t="s">
        <v>86</v>
      </c>
      <c r="I7" s="36" t="s">
        <v>23</v>
      </c>
      <c r="P7" s="37">
        <v>6</v>
      </c>
      <c r="Q7" s="38">
        <v>5.0999999999999996</v>
      </c>
      <c r="R7" s="39">
        <v>6.8</v>
      </c>
      <c r="S7" s="40">
        <v>8</v>
      </c>
      <c r="T7" s="40">
        <v>8</v>
      </c>
      <c r="U7" s="40"/>
      <c r="V7" s="15"/>
      <c r="W7" s="32" t="s">
        <v>87</v>
      </c>
      <c r="X7" s="46" t="s">
        <v>88</v>
      </c>
      <c r="Y7" s="15"/>
      <c r="Z7" s="15"/>
      <c r="AA7" s="15"/>
      <c r="AB7" s="15"/>
      <c r="AC7" s="15"/>
      <c r="AD7" s="15"/>
      <c r="AG7" s="42">
        <v>4</v>
      </c>
      <c r="AH7" s="43">
        <v>32</v>
      </c>
      <c r="AI7" s="43">
        <v>1.86</v>
      </c>
      <c r="AJ7" s="48">
        <f t="shared" si="0"/>
        <v>28.28</v>
      </c>
      <c r="AK7" s="44" t="s">
        <v>89</v>
      </c>
      <c r="AL7" s="43"/>
      <c r="AM7" s="49">
        <v>50</v>
      </c>
      <c r="AN7" s="45"/>
      <c r="AO7" s="15"/>
      <c r="AQ7" s="15"/>
      <c r="AR7" s="15"/>
      <c r="AS7" s="15"/>
      <c r="AT7" s="11" t="s">
        <v>177</v>
      </c>
      <c r="AU7" s="11"/>
      <c r="AV7" s="235" t="s">
        <v>9</v>
      </c>
      <c r="AW7" s="11"/>
      <c r="AX7" t="str">
        <v>PN.IN</v>
      </c>
      <c r="AY7" s="11"/>
      <c r="BA7" s="184" t="str" cm="1">
        <f t="array" ref="BA7">INDEX(TRANSPOSE(DanhSachSheet), ROW()-ROW(Table17[#Headers]))</f>
        <v>MCP-B2F-FAF.Z1 (2)</v>
      </c>
    </row>
    <row r="8" spans="1:53" x14ac:dyDescent="0.25">
      <c r="A8" s="229" t="s">
        <v>90</v>
      </c>
      <c r="B8" s="68">
        <v>10</v>
      </c>
      <c r="C8" s="230">
        <v>10</v>
      </c>
      <c r="E8" s="26" t="str">
        <f>'Spec. Cable'!$A8</f>
        <v>40A</v>
      </c>
      <c r="I8" s="36" t="s">
        <v>91</v>
      </c>
      <c r="P8" s="37">
        <v>10</v>
      </c>
      <c r="Q8" s="38">
        <v>6.1</v>
      </c>
      <c r="R8" s="39">
        <v>7.5</v>
      </c>
      <c r="S8" s="40">
        <v>8.6</v>
      </c>
      <c r="T8" s="40">
        <v>8.6</v>
      </c>
      <c r="U8" s="40"/>
      <c r="V8" s="15"/>
      <c r="W8" s="32" t="s">
        <v>92</v>
      </c>
      <c r="X8" s="46" t="s">
        <v>93</v>
      </c>
      <c r="Y8" s="15"/>
      <c r="Z8" s="15"/>
      <c r="AA8" s="15"/>
      <c r="AB8" s="15"/>
      <c r="AC8" s="15"/>
      <c r="AD8" s="15"/>
      <c r="AG8" s="42">
        <v>5</v>
      </c>
      <c r="AH8" s="43">
        <v>40</v>
      </c>
      <c r="AI8" s="43">
        <v>2.1</v>
      </c>
      <c r="AJ8" s="43">
        <f t="shared" si="0"/>
        <v>35.799999999999997</v>
      </c>
      <c r="AK8" s="44" t="s">
        <v>94</v>
      </c>
      <c r="AL8" s="43"/>
      <c r="AM8" s="43">
        <v>65</v>
      </c>
      <c r="AN8" s="45"/>
      <c r="AO8" s="15"/>
      <c r="AQ8" s="15"/>
      <c r="AR8" s="15"/>
      <c r="AS8" s="15"/>
      <c r="AT8" s="11" t="s">
        <v>169</v>
      </c>
      <c r="AU8"/>
      <c r="AV8" s="235" t="s">
        <v>173</v>
      </c>
      <c r="AW8"/>
      <c r="AX8" t="str">
        <v>SOF.BYPASS</v>
      </c>
      <c r="AY8"/>
      <c r="BA8" s="184" t="str" cm="1">
        <f t="array" ref="BA8">INDEX(TRANSPOSE(DanhSachSheet), ROW()-ROW(Table17[#Headers]))</f>
        <v>Spec. Cable</v>
      </c>
    </row>
    <row r="9" spans="1:53" x14ac:dyDescent="0.25">
      <c r="A9" s="226" t="s">
        <v>22</v>
      </c>
      <c r="B9" s="227">
        <v>10</v>
      </c>
      <c r="C9" s="228">
        <v>10</v>
      </c>
      <c r="E9" s="26" t="str">
        <f>'Spec. Cable'!$A9</f>
        <v>50A</v>
      </c>
      <c r="I9" s="36" t="s">
        <v>95</v>
      </c>
      <c r="P9" s="37">
        <v>16</v>
      </c>
      <c r="Q9" s="38">
        <v>6.7</v>
      </c>
      <c r="R9" s="39">
        <v>8.4</v>
      </c>
      <c r="S9" s="40">
        <v>9.5</v>
      </c>
      <c r="T9" s="40">
        <v>9.5</v>
      </c>
      <c r="U9" s="40"/>
      <c r="V9" s="15"/>
      <c r="W9" s="50"/>
      <c r="X9" s="51">
        <v>70</v>
      </c>
      <c r="Y9" s="15"/>
      <c r="Z9" s="15"/>
      <c r="AA9" s="15"/>
      <c r="AB9" s="15"/>
      <c r="AC9" s="15"/>
      <c r="AD9" s="15"/>
      <c r="AG9" s="42">
        <v>6</v>
      </c>
      <c r="AH9" s="43">
        <v>50</v>
      </c>
      <c r="AI9" s="43">
        <v>2.4</v>
      </c>
      <c r="AJ9" s="43">
        <f t="shared" si="0"/>
        <v>45.2</v>
      </c>
      <c r="AK9" s="44" t="s">
        <v>96</v>
      </c>
      <c r="AL9" s="43"/>
      <c r="AM9" s="43">
        <v>80</v>
      </c>
      <c r="AN9" s="43"/>
      <c r="AO9" s="15"/>
      <c r="AQ9" s="15"/>
      <c r="AR9" s="15"/>
      <c r="AS9" s="15"/>
      <c r="AT9" s="11" t="s">
        <v>179</v>
      </c>
      <c r="AU9"/>
      <c r="AV9" s="235" t="s">
        <v>10</v>
      </c>
      <c r="AW9"/>
      <c r="AX9" t="str">
        <v>KWH</v>
      </c>
      <c r="AY9"/>
      <c r="BA9" s="184" t="e" cm="1">
        <f t="array" ref="BA9">INDEX(TRANSPOSE(DanhSachSheet), ROW()-ROW(Table17[#Headers]))</f>
        <v>#REF!</v>
      </c>
    </row>
    <row r="10" spans="1:53" x14ac:dyDescent="0.25">
      <c r="A10" s="229" t="s">
        <v>28</v>
      </c>
      <c r="B10" s="68">
        <v>16</v>
      </c>
      <c r="C10" s="230">
        <v>16</v>
      </c>
      <c r="E10" s="26" t="str">
        <f>'Spec. Cable'!$A10</f>
        <v>63A</v>
      </c>
      <c r="I10" s="36" t="s">
        <v>97</v>
      </c>
      <c r="P10" s="37">
        <v>25</v>
      </c>
      <c r="Q10" s="38">
        <v>8.1999999999999993</v>
      </c>
      <c r="R10" s="39">
        <v>9.9</v>
      </c>
      <c r="S10" s="40">
        <v>11</v>
      </c>
      <c r="T10" s="40">
        <v>11</v>
      </c>
      <c r="U10" s="40"/>
      <c r="V10" s="15"/>
      <c r="W10" s="50"/>
      <c r="X10" s="51">
        <v>80</v>
      </c>
      <c r="Y10" s="15"/>
      <c r="Z10" s="15"/>
      <c r="AA10" s="15"/>
      <c r="AB10" s="15"/>
      <c r="AC10" s="15"/>
      <c r="AD10" s="15"/>
      <c r="AG10" s="42">
        <v>7</v>
      </c>
      <c r="AH10" s="43">
        <v>63</v>
      </c>
      <c r="AI10" s="43">
        <v>3</v>
      </c>
      <c r="AJ10" s="43">
        <f t="shared" si="0"/>
        <v>57</v>
      </c>
      <c r="AK10" s="44" t="s">
        <v>98</v>
      </c>
      <c r="AL10" s="43"/>
      <c r="AM10" s="43">
        <v>100</v>
      </c>
      <c r="AN10" s="43"/>
      <c r="AO10" s="15"/>
      <c r="AQ10" s="15"/>
      <c r="AR10" s="15"/>
      <c r="AS10" s="15"/>
      <c r="AT10" s="11" t="s">
        <v>187</v>
      </c>
      <c r="AU10"/>
      <c r="AW10"/>
      <c r="AX10" t="str">
        <v>SP</v>
      </c>
      <c r="AY10"/>
      <c r="BA10" s="184" t="e" cm="1">
        <f t="array" ref="BA10">INDEX(TRANSPOSE(DanhSachSheet), ROW()-ROW(Table17[#Headers]))</f>
        <v>#REF!</v>
      </c>
    </row>
    <row r="11" spans="1:53" x14ac:dyDescent="0.25">
      <c r="A11" s="226" t="s">
        <v>99</v>
      </c>
      <c r="B11" s="227">
        <v>25</v>
      </c>
      <c r="C11" s="228">
        <v>16</v>
      </c>
      <c r="E11" s="26" t="str">
        <f>'Spec. Cable'!$A11</f>
        <v>80A</v>
      </c>
      <c r="I11" s="36" t="s">
        <v>100</v>
      </c>
      <c r="P11" s="37">
        <v>35</v>
      </c>
      <c r="Q11" s="38">
        <v>9.3000000000000007</v>
      </c>
      <c r="R11" s="39">
        <v>11</v>
      </c>
      <c r="S11" s="40">
        <v>12.1</v>
      </c>
      <c r="T11" s="40">
        <v>12.1</v>
      </c>
      <c r="U11" s="40"/>
      <c r="V11" s="15"/>
      <c r="W11" s="50"/>
      <c r="X11" s="51">
        <v>90</v>
      </c>
      <c r="Y11" s="15"/>
      <c r="Z11" s="15"/>
      <c r="AA11" s="15"/>
      <c r="AB11" s="15"/>
      <c r="AC11" s="15"/>
      <c r="AD11" s="15"/>
      <c r="AG11" s="42">
        <v>8</v>
      </c>
      <c r="AH11" s="43"/>
      <c r="AI11" s="43"/>
      <c r="AJ11" s="43"/>
      <c r="AK11" s="44" t="s">
        <v>101</v>
      </c>
      <c r="AL11" s="43"/>
      <c r="AM11" s="43">
        <v>125</v>
      </c>
      <c r="AN11" s="43"/>
      <c r="AO11" s="15"/>
      <c r="AQ11" s="15"/>
      <c r="AR11" s="15"/>
      <c r="AS11" s="15"/>
      <c r="AT11" s="11" t="s">
        <v>188</v>
      </c>
      <c r="AU11"/>
      <c r="AW11"/>
      <c r="AX11" t="str">
        <v>CT</v>
      </c>
      <c r="AY11"/>
      <c r="BA11" s="184" t="e" cm="1">
        <f t="array" ref="BA11">INDEX(TRANSPOSE(DanhSachSheet), ROW()-ROW(Table17[#Headers]))</f>
        <v>#REF!</v>
      </c>
    </row>
    <row r="12" spans="1:53" x14ac:dyDescent="0.25">
      <c r="A12" s="229" t="s">
        <v>102</v>
      </c>
      <c r="B12" s="68">
        <v>35</v>
      </c>
      <c r="C12" s="230" t="s">
        <v>41</v>
      </c>
      <c r="E12" s="26" t="str">
        <f>'Spec. Cable'!$A12</f>
        <v>100A</v>
      </c>
      <c r="I12" s="52" t="s">
        <v>103</v>
      </c>
      <c r="P12" s="37">
        <v>50</v>
      </c>
      <c r="Q12" s="38">
        <v>10.8</v>
      </c>
      <c r="R12" s="39">
        <v>12.3</v>
      </c>
      <c r="S12" s="40">
        <v>13.4</v>
      </c>
      <c r="T12" s="40">
        <v>13.4</v>
      </c>
      <c r="U12" s="40"/>
      <c r="V12" s="15"/>
      <c r="W12" s="50"/>
      <c r="X12" s="51">
        <v>100</v>
      </c>
      <c r="Y12" s="15"/>
      <c r="Z12" s="15"/>
      <c r="AA12" s="15"/>
      <c r="AB12" s="15"/>
      <c r="AC12" s="15"/>
      <c r="AD12" s="15"/>
      <c r="AG12" s="42">
        <v>9</v>
      </c>
      <c r="AH12" s="53"/>
      <c r="AI12" s="53"/>
      <c r="AJ12" s="53"/>
      <c r="AK12" s="54" t="s">
        <v>104</v>
      </c>
      <c r="AL12" s="53"/>
      <c r="AM12" s="53">
        <v>150</v>
      </c>
      <c r="AN12" s="55"/>
      <c r="AO12" s="15"/>
      <c r="AQ12" s="15"/>
      <c r="AR12" s="15"/>
      <c r="AS12" s="15"/>
      <c r="AU12"/>
      <c r="AV12" s="236"/>
      <c r="AW12"/>
      <c r="AX12" t="str">
        <v>BMS</v>
      </c>
      <c r="AY12"/>
      <c r="BA12" s="184" t="e" cm="1">
        <f t="array" ref="BA12">INDEX(TRANSPOSE(DanhSachSheet), ROW()-ROW(Table17[#Headers]))</f>
        <v>#REF!</v>
      </c>
    </row>
    <row r="13" spans="1:53" x14ac:dyDescent="0.25">
      <c r="A13" s="226" t="s">
        <v>105</v>
      </c>
      <c r="B13" s="227">
        <v>50</v>
      </c>
      <c r="C13" s="228">
        <v>25</v>
      </c>
      <c r="E13" s="26" t="str">
        <f>'Spec. Cable'!$A13</f>
        <v>125A</v>
      </c>
      <c r="P13" s="37">
        <v>70</v>
      </c>
      <c r="Q13" s="38">
        <v>12.5</v>
      </c>
      <c r="R13" s="39">
        <v>14.2</v>
      </c>
      <c r="S13" s="40">
        <v>15.3</v>
      </c>
      <c r="T13" s="40">
        <v>15.3</v>
      </c>
      <c r="U13" s="40"/>
      <c r="V13" s="15"/>
      <c r="W13" s="50"/>
      <c r="X13" s="51">
        <v>125</v>
      </c>
      <c r="Y13" s="15"/>
      <c r="Z13" s="15"/>
      <c r="AA13" s="15"/>
      <c r="AB13" s="15"/>
      <c r="AC13" s="15"/>
      <c r="AD13" s="15"/>
      <c r="AG13" s="15"/>
      <c r="AH13" s="15"/>
      <c r="AI13" s="15"/>
      <c r="AJ13" s="15"/>
      <c r="AK13" s="15"/>
      <c r="AL13" s="15"/>
      <c r="AM13" s="15"/>
      <c r="AN13" s="15"/>
      <c r="AO13" s="15"/>
      <c r="AQ13" s="15"/>
      <c r="AR13" s="15"/>
      <c r="AS13" s="15"/>
      <c r="AU13"/>
      <c r="AV13" s="236"/>
      <c r="AW13"/>
      <c r="AX13" t="str">
        <v>VSD</v>
      </c>
      <c r="AY13"/>
      <c r="BA13" s="184" t="e" cm="1">
        <f t="array" ref="BA13">INDEX(TRANSPOSE(DanhSachSheet), ROW()-ROW(Table17[#Headers]))</f>
        <v>#REF!</v>
      </c>
    </row>
    <row r="14" spans="1:53" x14ac:dyDescent="0.25">
      <c r="A14" s="229" t="s">
        <v>106</v>
      </c>
      <c r="B14" s="68">
        <v>70</v>
      </c>
      <c r="C14" s="230">
        <v>35</v>
      </c>
      <c r="E14" s="26" t="str">
        <f>'Spec. Cable'!$A14</f>
        <v>150A</v>
      </c>
      <c r="P14" s="37">
        <v>95</v>
      </c>
      <c r="Q14" s="38">
        <v>14.5</v>
      </c>
      <c r="R14" s="39">
        <v>16</v>
      </c>
      <c r="S14" s="40">
        <v>17.100000000000001</v>
      </c>
      <c r="T14" s="40">
        <v>17.100000000000001</v>
      </c>
      <c r="U14" s="40"/>
      <c r="V14" s="15"/>
      <c r="W14" s="50"/>
      <c r="X14" s="51">
        <v>150</v>
      </c>
      <c r="Y14" s="15"/>
      <c r="Z14" s="15"/>
      <c r="AA14" s="15"/>
      <c r="AB14" s="15"/>
      <c r="AC14" s="15"/>
      <c r="AD14" s="15"/>
      <c r="AG14" s="15"/>
      <c r="AH14" s="15"/>
      <c r="AI14" s="15"/>
      <c r="AJ14" s="15"/>
      <c r="AK14" s="15"/>
      <c r="AL14" s="15"/>
      <c r="AM14" s="15"/>
      <c r="AN14" s="15"/>
      <c r="AO14" s="15"/>
      <c r="AQ14" s="15"/>
      <c r="AR14" s="15"/>
      <c r="AS14" s="15"/>
      <c r="AT14"/>
      <c r="AU14"/>
      <c r="AV14" s="236"/>
      <c r="AW14"/>
      <c r="AX14" t="str">
        <v>SOF</v>
      </c>
      <c r="AY14"/>
      <c r="BA14" s="184" t="e" cm="1">
        <f t="array" ref="BA14">INDEX(TRANSPOSE(DanhSachSheet), ROW()-ROW(Table17[#Headers]))</f>
        <v>#REF!</v>
      </c>
    </row>
    <row r="15" spans="1:53" x14ac:dyDescent="0.25">
      <c r="A15" s="226" t="s">
        <v>107</v>
      </c>
      <c r="B15" s="227">
        <v>70</v>
      </c>
      <c r="C15" s="228">
        <v>35</v>
      </c>
      <c r="E15" s="26" t="str">
        <f>'Spec. Cable'!$A15</f>
        <v>160A</v>
      </c>
      <c r="P15" s="37">
        <v>120</v>
      </c>
      <c r="Q15" s="38">
        <v>15.9</v>
      </c>
      <c r="R15" s="39">
        <v>17.600000000000001</v>
      </c>
      <c r="S15" s="40">
        <v>18.7</v>
      </c>
      <c r="T15" s="40">
        <v>18.7</v>
      </c>
      <c r="U15" s="40"/>
      <c r="V15" s="15"/>
      <c r="W15" s="50"/>
      <c r="X15" s="51">
        <v>160</v>
      </c>
      <c r="Y15" s="15"/>
      <c r="Z15" s="15"/>
      <c r="AA15" s="15"/>
      <c r="AB15" s="15"/>
      <c r="AC15" s="15"/>
      <c r="AD15" s="15"/>
      <c r="AG15" s="15"/>
      <c r="AH15" s="15"/>
      <c r="AI15" s="15"/>
      <c r="AJ15" s="15"/>
      <c r="AK15" s="15"/>
      <c r="AL15" s="15"/>
      <c r="AM15" s="15"/>
      <c r="AN15" s="15"/>
      <c r="AO15" s="15"/>
      <c r="AQ15" s="15"/>
      <c r="AR15" s="15"/>
      <c r="AS15" s="15"/>
      <c r="AT15"/>
      <c r="AU15"/>
      <c r="AV15"/>
      <c r="AW15"/>
      <c r="AX15" t="str">
        <v>DOL</v>
      </c>
      <c r="AY15"/>
      <c r="BA15" s="184" t="e" cm="1">
        <f t="array" ref="BA15">INDEX(TRANSPOSE(DanhSachSheet), ROW()-ROW(Table17[#Headers]))</f>
        <v>#REF!</v>
      </c>
    </row>
    <row r="16" spans="1:53" x14ac:dyDescent="0.25">
      <c r="A16" s="229" t="s">
        <v>108</v>
      </c>
      <c r="B16" s="68">
        <v>95</v>
      </c>
      <c r="C16" s="230">
        <v>50</v>
      </c>
      <c r="E16" s="26" t="str">
        <f>'Spec. Cable'!$A16</f>
        <v>200A</v>
      </c>
      <c r="P16" s="37">
        <v>150</v>
      </c>
      <c r="Q16" s="38">
        <v>17.7</v>
      </c>
      <c r="R16" s="39">
        <v>19.600000000000001</v>
      </c>
      <c r="S16" s="40">
        <v>20.7</v>
      </c>
      <c r="T16" s="40">
        <v>20.7</v>
      </c>
      <c r="U16" s="40"/>
      <c r="V16" s="15"/>
      <c r="W16" s="50"/>
      <c r="X16" s="51">
        <v>175</v>
      </c>
      <c r="Y16" s="15"/>
      <c r="Z16" s="15"/>
      <c r="AA16" s="15"/>
      <c r="AB16" s="15"/>
      <c r="AC16" s="15"/>
      <c r="AD16" s="15"/>
      <c r="AG16" s="15"/>
      <c r="AH16" s="15"/>
      <c r="AI16" s="15"/>
      <c r="AJ16" s="15"/>
      <c r="AK16" s="15"/>
      <c r="AL16" s="15"/>
      <c r="AM16" s="15"/>
      <c r="AN16" s="15"/>
      <c r="AO16" s="15"/>
      <c r="AQ16" s="15"/>
      <c r="AR16" s="15"/>
      <c r="AS16" s="15"/>
      <c r="AT16"/>
      <c r="AU16"/>
      <c r="AV16"/>
      <c r="AW16"/>
      <c r="AX16" t="str">
        <v>SPC</v>
      </c>
      <c r="AY16"/>
      <c r="BA16" s="184" t="e" cm="1">
        <f t="array" ref="BA16">INDEX(TRANSPOSE(DanhSachSheet), ROW()-ROW(Table17[#Headers]))</f>
        <v>#REF!</v>
      </c>
    </row>
    <row r="17" spans="1:53" x14ac:dyDescent="0.25">
      <c r="A17" s="226" t="s">
        <v>109</v>
      </c>
      <c r="B17" s="227">
        <v>95</v>
      </c>
      <c r="C17" s="228">
        <v>50</v>
      </c>
      <c r="E17" s="26" t="str">
        <f>'Spec. Cable'!$A17</f>
        <v>225A</v>
      </c>
      <c r="P17" s="37">
        <v>185</v>
      </c>
      <c r="Q17" s="38">
        <v>19.7</v>
      </c>
      <c r="R17" s="39">
        <v>21.6</v>
      </c>
      <c r="S17" s="40">
        <v>22.7</v>
      </c>
      <c r="T17" s="40">
        <v>22.7</v>
      </c>
      <c r="U17" s="40"/>
      <c r="V17" s="15"/>
      <c r="W17" s="50"/>
      <c r="X17" s="51">
        <v>200</v>
      </c>
      <c r="Y17" s="15"/>
      <c r="Z17" s="15"/>
      <c r="AA17" s="15"/>
      <c r="AB17" s="15"/>
      <c r="AC17" s="15"/>
      <c r="AD17" s="15"/>
      <c r="AG17" s="15"/>
      <c r="AH17" s="15"/>
      <c r="AI17" s="15"/>
      <c r="AJ17" s="15"/>
      <c r="AK17" s="15"/>
      <c r="AL17" s="15"/>
      <c r="AM17" s="15"/>
      <c r="AN17" s="15"/>
      <c r="AO17" s="15"/>
      <c r="AQ17" s="15"/>
      <c r="AR17" s="15"/>
      <c r="AS17" s="15"/>
      <c r="AT17"/>
      <c r="AU17"/>
      <c r="AV17"/>
      <c r="AW17"/>
      <c r="AX17" t="str">
        <v>STAR-DELTA</v>
      </c>
      <c r="AY17"/>
      <c r="BA17" s="184" t="e" cm="1">
        <f t="array" ref="BA17">INDEX(TRANSPOSE(DanhSachSheet), ROW()-ROW(Table17[#Headers]))</f>
        <v>#REF!</v>
      </c>
    </row>
    <row r="18" spans="1:53" x14ac:dyDescent="0.25">
      <c r="A18" s="229" t="s">
        <v>110</v>
      </c>
      <c r="B18" s="68">
        <v>120</v>
      </c>
      <c r="C18" s="230">
        <v>70</v>
      </c>
      <c r="E18" s="26" t="str">
        <f>'Spec. Cable'!$A18</f>
        <v>250A</v>
      </c>
      <c r="P18" s="37">
        <v>240</v>
      </c>
      <c r="Q18" s="38">
        <v>22.4</v>
      </c>
      <c r="R18" s="39">
        <v>24.3</v>
      </c>
      <c r="S18" s="40">
        <v>25.4</v>
      </c>
      <c r="T18" s="40">
        <v>25.4</v>
      </c>
      <c r="U18" s="40"/>
      <c r="V18" s="15"/>
      <c r="W18" s="50"/>
      <c r="X18" s="51">
        <v>250</v>
      </c>
      <c r="Y18" s="15"/>
      <c r="Z18" s="15"/>
      <c r="AA18" s="15"/>
      <c r="AB18" s="15"/>
      <c r="AC18" s="15"/>
      <c r="AD18" s="15"/>
      <c r="AG18" s="15"/>
      <c r="AH18" s="15"/>
      <c r="AI18" s="15"/>
      <c r="AJ18" s="15"/>
      <c r="AK18" s="15"/>
      <c r="AL18" s="15"/>
      <c r="AM18" s="15"/>
      <c r="AN18" s="15"/>
      <c r="AO18" s="15"/>
      <c r="AQ18" s="15"/>
      <c r="AR18" s="15"/>
      <c r="AS18" s="15"/>
      <c r="AT18"/>
      <c r="AU18"/>
      <c r="AV18"/>
      <c r="AW18"/>
      <c r="AX18"/>
      <c r="AY18"/>
      <c r="BA18" s="184" t="e" cm="1">
        <f t="array" ref="BA18">INDEX(TRANSPOSE(DanhSachSheet), ROW()-ROW(Table17[#Headers]))</f>
        <v>#REF!</v>
      </c>
    </row>
    <row r="19" spans="1:53" x14ac:dyDescent="0.25">
      <c r="A19" s="226" t="s">
        <v>111</v>
      </c>
      <c r="B19" s="227">
        <v>150</v>
      </c>
      <c r="C19" s="228">
        <v>95</v>
      </c>
      <c r="E19" s="26" t="str">
        <f>'Spec. Cable'!$A19</f>
        <v>300A</v>
      </c>
      <c r="P19" s="37">
        <v>300</v>
      </c>
      <c r="Q19" s="38">
        <v>25.2</v>
      </c>
      <c r="R19" s="39">
        <v>27</v>
      </c>
      <c r="S19" s="40">
        <v>28.2</v>
      </c>
      <c r="T19" s="40">
        <v>28.2</v>
      </c>
      <c r="U19" s="40"/>
      <c r="V19" s="15"/>
      <c r="W19" s="15"/>
      <c r="X19" s="15"/>
      <c r="AD19" s="15"/>
      <c r="AE19" s="15"/>
      <c r="AF19" s="15"/>
      <c r="AG19" s="15"/>
      <c r="AH19" s="15"/>
      <c r="AI19" s="15"/>
      <c r="AJ19" s="15"/>
      <c r="AK19" s="15"/>
      <c r="AL19" s="15"/>
      <c r="AO19" s="15"/>
      <c r="AP19" s="15"/>
      <c r="AQ19" s="15"/>
      <c r="AR19" s="15"/>
      <c r="AS19" s="15"/>
      <c r="AT19"/>
      <c r="AU19"/>
      <c r="AV19"/>
      <c r="AW19"/>
      <c r="AX19"/>
      <c r="AY19"/>
      <c r="BA19" s="184" t="e" cm="1">
        <f t="array" ref="BA19">INDEX(TRANSPOSE(DanhSachSheet), ROW()-ROW(Table17[#Headers]))</f>
        <v>#REF!</v>
      </c>
    </row>
    <row r="20" spans="1:53" ht="15.75" thickBot="1" x14ac:dyDescent="0.3">
      <c r="A20" s="229" t="s">
        <v>112</v>
      </c>
      <c r="B20" s="68">
        <v>150</v>
      </c>
      <c r="C20" s="230">
        <v>95</v>
      </c>
      <c r="E20" s="26" t="str">
        <f>'Spec. Cable'!$A20</f>
        <v>320A</v>
      </c>
      <c r="P20" s="37">
        <v>400</v>
      </c>
      <c r="Q20" s="56">
        <v>28.4</v>
      </c>
      <c r="R20" s="57">
        <v>30.4</v>
      </c>
      <c r="S20" s="40">
        <v>31.5</v>
      </c>
      <c r="T20" s="40">
        <v>31.5</v>
      </c>
      <c r="U20" s="40"/>
      <c r="V20" s="15"/>
      <c r="W20" s="15"/>
      <c r="X20" s="15"/>
      <c r="AD20" s="15"/>
      <c r="AE20" s="15"/>
      <c r="AF20" s="15"/>
      <c r="AG20" s="15"/>
      <c r="AH20" s="15"/>
      <c r="AI20" s="15"/>
      <c r="AJ20" s="15"/>
      <c r="AK20" s="15"/>
      <c r="AL20" s="15"/>
      <c r="AO20" s="15"/>
      <c r="AP20" s="15"/>
      <c r="AQ20" s="15"/>
      <c r="AR20" s="15"/>
      <c r="AS20" s="15"/>
      <c r="AT20"/>
      <c r="AU20"/>
      <c r="AV20"/>
      <c r="AW20"/>
      <c r="AX20"/>
      <c r="AY20"/>
      <c r="BA20" s="184" t="e" cm="1">
        <f t="array" ref="BA20">INDEX(TRANSPOSE(DanhSachSheet), ROW()-ROW(Table17[#Headers]))</f>
        <v>#REF!</v>
      </c>
    </row>
    <row r="21" spans="1:53" x14ac:dyDescent="0.25">
      <c r="A21" s="226" t="s">
        <v>113</v>
      </c>
      <c r="B21" s="227">
        <v>185</v>
      </c>
      <c r="C21" s="228">
        <v>95</v>
      </c>
      <c r="E21" s="26" t="str">
        <f>'Spec. Cable'!$A21</f>
        <v>350A</v>
      </c>
      <c r="P21" s="37">
        <v>500</v>
      </c>
      <c r="Q21" s="40"/>
      <c r="R21" s="40">
        <v>34</v>
      </c>
      <c r="S21" s="40">
        <v>35</v>
      </c>
      <c r="T21" s="58">
        <v>35</v>
      </c>
      <c r="U21" s="40"/>
      <c r="V21" s="15"/>
      <c r="W21" s="15"/>
      <c r="X21" s="15"/>
      <c r="AD21" s="15"/>
      <c r="AE21" s="15"/>
      <c r="AF21" s="15"/>
      <c r="AG21" s="15"/>
      <c r="AH21" s="15"/>
      <c r="AI21" s="15"/>
      <c r="AJ21" s="15"/>
      <c r="AK21" s="15"/>
      <c r="AL21" s="15"/>
      <c r="AO21" s="15"/>
      <c r="AP21" s="15"/>
      <c r="AQ21" s="15"/>
      <c r="AR21" s="15"/>
      <c r="AS21" s="15"/>
      <c r="AT21"/>
      <c r="AU21"/>
      <c r="AV21"/>
      <c r="AW21"/>
      <c r="AX21"/>
      <c r="AY21"/>
      <c r="BA21" s="184" t="e" cm="1">
        <f t="array" ref="BA21">INDEX(TRANSPOSE(DanhSachSheet), ROW()-ROW(Table17[#Headers]))</f>
        <v>#REF!</v>
      </c>
    </row>
    <row r="22" spans="1:53" x14ac:dyDescent="0.25">
      <c r="A22" s="229" t="s">
        <v>114</v>
      </c>
      <c r="B22" s="68">
        <v>185</v>
      </c>
      <c r="C22" s="230">
        <v>95</v>
      </c>
      <c r="E22" s="26" t="str">
        <f>'Spec. Cable'!$A22</f>
        <v>400A</v>
      </c>
      <c r="P22" s="37">
        <v>630</v>
      </c>
      <c r="Q22" s="40"/>
      <c r="R22" s="40">
        <v>39</v>
      </c>
      <c r="S22" s="40">
        <v>40</v>
      </c>
      <c r="T22" s="58">
        <v>40</v>
      </c>
      <c r="U22" s="40"/>
      <c r="W22" s="59"/>
      <c r="AC22" s="15"/>
      <c r="AD22" s="15"/>
      <c r="AE22" s="15"/>
      <c r="AF22" s="15"/>
      <c r="AG22" s="15"/>
      <c r="AH22" s="15"/>
      <c r="AI22" s="15"/>
      <c r="AJ22" s="15"/>
      <c r="AK22" s="15"/>
      <c r="AN22" s="15"/>
      <c r="AO22" s="15"/>
      <c r="AP22" s="15"/>
      <c r="AQ22" s="15"/>
      <c r="AR22" s="15"/>
      <c r="AS22" s="15"/>
      <c r="AT22"/>
      <c r="AU22"/>
      <c r="AV22"/>
      <c r="AW22"/>
      <c r="AX22"/>
      <c r="AY22"/>
      <c r="BA22" s="184" t="e" cm="1">
        <f t="array" ref="BA22">INDEX(TRANSPOSE(DanhSachSheet), ROW()-ROW(Table17[#Headers]))</f>
        <v>#REF!</v>
      </c>
    </row>
    <row r="23" spans="1:53" ht="19.5" x14ac:dyDescent="0.25">
      <c r="A23" s="226" t="s">
        <v>115</v>
      </c>
      <c r="B23" s="227">
        <v>240</v>
      </c>
      <c r="C23" s="228">
        <v>120</v>
      </c>
      <c r="E23" s="26" t="str">
        <f>'Spec. Cable'!$A23</f>
        <v>450A</v>
      </c>
      <c r="P23" s="29" t="s">
        <v>116</v>
      </c>
      <c r="Q23" s="30"/>
      <c r="R23" s="30"/>
      <c r="S23" s="30"/>
      <c r="T23" s="31"/>
      <c r="U23" s="30"/>
      <c r="V23" s="60"/>
      <c r="W23" s="59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N23" s="15"/>
      <c r="AO23" s="15"/>
      <c r="AP23" s="15"/>
      <c r="AQ23" s="15"/>
      <c r="AR23" s="15"/>
      <c r="AS23" s="15"/>
      <c r="AT23"/>
      <c r="AU23"/>
      <c r="AV23"/>
      <c r="AW23"/>
      <c r="AY23"/>
      <c r="BA23" s="184" t="e" cm="1">
        <f t="array" ref="BA23">INDEX(TRANSPOSE(DanhSachSheet), ROW()-ROW(Table17[#Headers]))</f>
        <v>#REF!</v>
      </c>
    </row>
    <row r="24" spans="1:53" x14ac:dyDescent="0.25">
      <c r="A24" s="229" t="s">
        <v>117</v>
      </c>
      <c r="B24" s="68">
        <v>240</v>
      </c>
      <c r="C24" s="230">
        <v>120</v>
      </c>
      <c r="E24" s="26" t="str">
        <f>'Spec. Cable'!$A24</f>
        <v>500A</v>
      </c>
      <c r="P24" s="61">
        <v>1.5</v>
      </c>
      <c r="Q24" s="40"/>
      <c r="R24" s="62">
        <v>10.199999999999999</v>
      </c>
      <c r="S24" s="63">
        <v>12.4</v>
      </c>
      <c r="T24" s="63">
        <v>12.4</v>
      </c>
      <c r="U24" s="64">
        <v>10.6</v>
      </c>
      <c r="W24" s="59"/>
      <c r="X24" s="15"/>
      <c r="Y24" s="15"/>
      <c r="Z24" s="15"/>
      <c r="AA24" s="15"/>
      <c r="AB24" s="15"/>
      <c r="AC24" s="15"/>
      <c r="AD24" s="15"/>
      <c r="AN24" s="15"/>
      <c r="AO24" s="15"/>
      <c r="AP24" s="15"/>
      <c r="AQ24" s="15"/>
      <c r="AR24" s="15"/>
      <c r="AS24" s="15"/>
      <c r="AT24" s="15"/>
      <c r="BA24" s="185" t="e" cm="1">
        <f t="array" ref="BA24">INDEX(TRANSPOSE(DanhSachSheet), ROW()-ROW(Table17[#Headers]))</f>
        <v>#REF!</v>
      </c>
    </row>
    <row r="25" spans="1:53" ht="21" customHeight="1" x14ac:dyDescent="0.25">
      <c r="A25" s="226" t="s">
        <v>118</v>
      </c>
      <c r="B25" s="227">
        <v>300</v>
      </c>
      <c r="C25" s="228">
        <v>150</v>
      </c>
      <c r="E25" s="26" t="str">
        <f>'Spec. Cable'!$A25</f>
        <v>630A</v>
      </c>
      <c r="P25" s="61">
        <v>2.5</v>
      </c>
      <c r="Q25" s="40"/>
      <c r="R25" s="65">
        <v>11.1</v>
      </c>
      <c r="S25" s="63">
        <v>13.3</v>
      </c>
      <c r="T25" s="63">
        <v>13.3</v>
      </c>
      <c r="U25" s="64">
        <v>11.5</v>
      </c>
      <c r="V25" s="17"/>
      <c r="X25" s="15"/>
      <c r="Y25" s="15"/>
      <c r="Z25" s="15"/>
      <c r="AA25" s="15"/>
      <c r="AB25" s="15"/>
      <c r="AC25" s="15"/>
      <c r="AD25" s="15"/>
      <c r="AN25" s="15"/>
      <c r="AO25" s="15"/>
      <c r="AP25" s="15"/>
      <c r="AQ25" s="15"/>
      <c r="AR25" s="15"/>
      <c r="AS25" s="15"/>
      <c r="AT25" s="15"/>
      <c r="BA25" s="185" t="e" cm="1">
        <f t="array" ref="BA25">INDEX(TRANSPOSE(DanhSachSheet), ROW()-ROW(Table17[#Headers]))</f>
        <v>#REF!</v>
      </c>
    </row>
    <row r="26" spans="1:53" x14ac:dyDescent="0.25">
      <c r="A26" s="229" t="s">
        <v>119</v>
      </c>
      <c r="B26" s="68" t="s">
        <v>120</v>
      </c>
      <c r="C26" s="230">
        <v>185</v>
      </c>
      <c r="E26" s="26" t="str">
        <f>'Spec. Cable'!$A26</f>
        <v>800A</v>
      </c>
      <c r="P26" s="61">
        <v>4</v>
      </c>
      <c r="Q26" s="40"/>
      <c r="R26" s="65">
        <v>12.1</v>
      </c>
      <c r="S26" s="63">
        <v>14.4</v>
      </c>
      <c r="T26" s="63">
        <v>14.4</v>
      </c>
      <c r="U26" s="64">
        <v>13.3</v>
      </c>
      <c r="V26" s="17"/>
      <c r="X26" s="15"/>
      <c r="Y26" s="15"/>
      <c r="Z26" s="15"/>
      <c r="AA26" s="15"/>
      <c r="AB26" s="15"/>
      <c r="AC26" s="15"/>
      <c r="AD26" s="15"/>
      <c r="AN26" s="15"/>
      <c r="AO26" s="15"/>
      <c r="AP26" s="15"/>
      <c r="AQ26" s="15"/>
      <c r="AR26" s="15"/>
      <c r="AS26" s="15"/>
      <c r="AT26" s="15"/>
      <c r="BA26" s="185" t="e" cm="1">
        <f t="array" ref="BA26">INDEX(TRANSPOSE(DanhSachSheet), ROW()-ROW(Table17[#Headers]))</f>
        <v>#REF!</v>
      </c>
    </row>
    <row r="27" spans="1:53" x14ac:dyDescent="0.25">
      <c r="A27" s="226" t="s">
        <v>121</v>
      </c>
      <c r="B27" s="227" t="s">
        <v>122</v>
      </c>
      <c r="C27" s="228">
        <v>240</v>
      </c>
      <c r="E27" s="26" t="str">
        <f>'Spec. Cable'!$A27</f>
        <v>1000A</v>
      </c>
      <c r="P27" s="61">
        <v>6</v>
      </c>
      <c r="Q27" s="40"/>
      <c r="R27" s="65">
        <v>13.3</v>
      </c>
      <c r="S27" s="63">
        <v>15.5</v>
      </c>
      <c r="T27" s="63">
        <v>15.5</v>
      </c>
      <c r="U27" s="64">
        <v>14.5</v>
      </c>
      <c r="V27" s="17"/>
      <c r="X27" s="15"/>
      <c r="Y27" s="15"/>
      <c r="Z27" s="15"/>
      <c r="AA27" s="15"/>
      <c r="AB27" s="15"/>
      <c r="AC27" s="15"/>
      <c r="AD27" s="15"/>
      <c r="AN27" s="15"/>
      <c r="AO27" s="15"/>
      <c r="AP27" s="15"/>
      <c r="AQ27" s="15"/>
      <c r="AR27" s="15"/>
      <c r="AS27" s="15"/>
      <c r="AT27" s="15"/>
      <c r="BA27" s="185" t="e" cm="1">
        <f t="array" ref="BA27">INDEX(TRANSPOSE(DanhSachSheet), ROW()-ROW(Table17[#Headers]))</f>
        <v>#REF!</v>
      </c>
    </row>
    <row r="28" spans="1:53" x14ac:dyDescent="0.25">
      <c r="A28" s="229" t="s">
        <v>123</v>
      </c>
      <c r="B28" s="68" t="s">
        <v>124</v>
      </c>
      <c r="C28" s="230">
        <v>300</v>
      </c>
      <c r="E28" s="26" t="str">
        <f>'Spec. Cable'!$A28</f>
        <v>1250A</v>
      </c>
      <c r="P28" s="61">
        <v>10</v>
      </c>
      <c r="Q28" s="40"/>
      <c r="R28" s="62">
        <v>13.7</v>
      </c>
      <c r="S28" s="66">
        <v>16</v>
      </c>
      <c r="T28" s="66">
        <v>16</v>
      </c>
      <c r="U28" s="64">
        <v>14.9</v>
      </c>
      <c r="V28" s="17"/>
      <c r="X28" s="15"/>
      <c r="Y28" s="15"/>
      <c r="Z28" s="15"/>
      <c r="AA28" s="15"/>
      <c r="AB28" s="15"/>
      <c r="AC28" s="15"/>
      <c r="AD28" s="15"/>
      <c r="AN28" s="15"/>
      <c r="AO28" s="15"/>
      <c r="AP28" s="15"/>
      <c r="AQ28" s="15"/>
      <c r="AR28" s="15"/>
      <c r="AS28" s="15"/>
      <c r="AT28" s="15"/>
      <c r="BA28" s="185" t="e" cm="1">
        <f t="array" ref="BA28">INDEX(TRANSPOSE(DanhSachSheet), ROW()-ROW(Table17[#Headers]))</f>
        <v>#REF!</v>
      </c>
    </row>
    <row r="29" spans="1:53" x14ac:dyDescent="0.25">
      <c r="A29" s="226" t="s">
        <v>125</v>
      </c>
      <c r="B29" s="227" t="s">
        <v>126</v>
      </c>
      <c r="C29" s="228" t="s">
        <v>127</v>
      </c>
      <c r="E29" s="26" t="str">
        <f>'Spec. Cable'!$A29</f>
        <v>1500A</v>
      </c>
      <c r="P29" s="61">
        <v>16</v>
      </c>
      <c r="Q29" s="40"/>
      <c r="R29" s="65">
        <v>15.5</v>
      </c>
      <c r="S29" s="63">
        <v>17.8</v>
      </c>
      <c r="T29" s="63">
        <v>17.8</v>
      </c>
      <c r="U29" s="64">
        <v>16.7</v>
      </c>
      <c r="V29" s="17"/>
      <c r="X29" s="15"/>
      <c r="Y29" s="15"/>
      <c r="Z29" s="15"/>
      <c r="AA29" s="15"/>
      <c r="AB29" s="15"/>
      <c r="AC29" s="15"/>
      <c r="AD29" s="15"/>
      <c r="AN29" s="15"/>
      <c r="AO29" s="15"/>
      <c r="AP29" s="15"/>
      <c r="AQ29" s="15"/>
      <c r="AR29" s="15"/>
      <c r="AS29" s="15"/>
      <c r="AT29" s="15"/>
      <c r="BA29" s="185" t="e" cm="1">
        <f t="array" ref="BA29">INDEX(TRANSPOSE(DanhSachSheet), ROW()-ROW(Table17[#Headers]))</f>
        <v>#REF!</v>
      </c>
    </row>
    <row r="30" spans="1:53" x14ac:dyDescent="0.25">
      <c r="A30" s="229" t="s">
        <v>128</v>
      </c>
      <c r="B30" s="68" t="s">
        <v>129</v>
      </c>
      <c r="C30" s="230" t="s">
        <v>127</v>
      </c>
      <c r="E30" s="26" t="str">
        <f>'Spec. Cable'!$A30</f>
        <v>1600A</v>
      </c>
      <c r="P30" s="61">
        <v>25</v>
      </c>
      <c r="Q30" s="40"/>
      <c r="R30" s="62">
        <v>18.600000000000001</v>
      </c>
      <c r="S30" s="63">
        <v>20.9</v>
      </c>
      <c r="T30" s="63">
        <v>20.9</v>
      </c>
      <c r="U30" s="64">
        <v>19.8</v>
      </c>
      <c r="V30" s="17"/>
      <c r="X30" s="15"/>
      <c r="Y30" s="15"/>
      <c r="Z30" s="15"/>
      <c r="AA30" s="15"/>
      <c r="AB30" s="15"/>
      <c r="AC30" s="15"/>
      <c r="AD30" s="15"/>
      <c r="AN30" s="15"/>
      <c r="AO30" s="15"/>
      <c r="AP30" s="15"/>
      <c r="AQ30" s="15"/>
      <c r="AR30" s="15"/>
      <c r="AS30" s="15"/>
      <c r="AT30" s="15"/>
      <c r="BA30" s="185" t="e" cm="1">
        <f t="array" ref="BA30">INDEX(TRANSPOSE(DanhSachSheet), ROW()-ROW(Table17[#Headers]))</f>
        <v>#REF!</v>
      </c>
    </row>
    <row r="31" spans="1:53" x14ac:dyDescent="0.25">
      <c r="A31" s="226" t="s">
        <v>130</v>
      </c>
      <c r="B31" s="227" t="s">
        <v>131</v>
      </c>
      <c r="C31" s="228" t="s">
        <v>132</v>
      </c>
      <c r="E31" s="26" t="str">
        <f>'Spec. Cable'!$A31</f>
        <v>2000A</v>
      </c>
      <c r="P31" s="61">
        <v>35</v>
      </c>
      <c r="Q31" s="40"/>
      <c r="R31" s="65">
        <v>20.7</v>
      </c>
      <c r="S31" s="66">
        <v>23</v>
      </c>
      <c r="T31" s="66">
        <v>23</v>
      </c>
      <c r="U31" s="64">
        <v>21.9</v>
      </c>
      <c r="V31" s="17"/>
      <c r="X31" s="15"/>
      <c r="Y31" s="15"/>
      <c r="Z31" s="15"/>
      <c r="AA31" s="15"/>
      <c r="AB31" s="15"/>
      <c r="AC31" s="15"/>
      <c r="AD31" s="15"/>
      <c r="AQ31" s="15"/>
      <c r="BA31" s="185" t="e" cm="1">
        <f t="array" ref="BA31">INDEX(TRANSPOSE(DanhSachSheet), ROW()-ROW(Table17[#Headers]))</f>
        <v>#REF!</v>
      </c>
    </row>
    <row r="32" spans="1:53" x14ac:dyDescent="0.25">
      <c r="A32" s="229" t="s">
        <v>133</v>
      </c>
      <c r="B32" s="68" t="s">
        <v>134</v>
      </c>
      <c r="C32" s="230" t="s">
        <v>135</v>
      </c>
      <c r="E32" s="26" t="str">
        <f>'Spec. Cable'!$A32</f>
        <v>2500A</v>
      </c>
      <c r="P32" s="61">
        <v>50</v>
      </c>
      <c r="Q32" s="40"/>
      <c r="R32" s="65">
        <v>23.4</v>
      </c>
      <c r="S32" s="63">
        <v>25.7</v>
      </c>
      <c r="T32" s="63">
        <v>25.7</v>
      </c>
      <c r="U32" s="67"/>
      <c r="V32" s="17"/>
      <c r="X32" s="15"/>
      <c r="Y32" s="15"/>
      <c r="Z32" s="15"/>
      <c r="AA32" s="15"/>
      <c r="AB32" s="15"/>
      <c r="AC32" s="15"/>
      <c r="AD32" s="15"/>
      <c r="AQ32" s="15"/>
      <c r="BA32" s="185" t="e" cm="1">
        <f t="array" ref="BA32">INDEX(TRANSPOSE(DanhSachSheet), ROW()-ROW(Table17[#Headers]))</f>
        <v>#REF!</v>
      </c>
    </row>
    <row r="33" spans="1:53" x14ac:dyDescent="0.25">
      <c r="A33" s="226" t="s">
        <v>136</v>
      </c>
      <c r="B33" s="227" t="s">
        <v>137</v>
      </c>
      <c r="C33" s="228" t="s">
        <v>138</v>
      </c>
      <c r="E33" s="26" t="str">
        <f>'Spec. Cable'!$A33</f>
        <v>3200A</v>
      </c>
      <c r="P33" s="61">
        <v>70</v>
      </c>
      <c r="Q33" s="40"/>
      <c r="R33" s="65">
        <v>27.2</v>
      </c>
      <c r="S33" s="63">
        <v>29.5</v>
      </c>
      <c r="T33" s="63">
        <v>29.5</v>
      </c>
      <c r="U33" s="64"/>
      <c r="V33" s="17"/>
      <c r="X33" s="15"/>
      <c r="Y33" s="15"/>
      <c r="Z33" s="15"/>
      <c r="AA33" s="15"/>
      <c r="AB33" s="15"/>
      <c r="AC33" s="15"/>
      <c r="AD33" s="15"/>
      <c r="AQ33" s="15"/>
      <c r="BA33" s="185" t="e" cm="1">
        <f t="array" ref="BA33">INDEX(TRANSPOSE(DanhSachSheet), ROW()-ROW(Table17[#Headers]))</f>
        <v>#REF!</v>
      </c>
    </row>
    <row r="34" spans="1:53" x14ac:dyDescent="0.25">
      <c r="A34" s="231" t="s">
        <v>139</v>
      </c>
      <c r="B34" s="232" t="s">
        <v>140</v>
      </c>
      <c r="C34" s="233"/>
      <c r="E34" s="26" t="str">
        <f>'Spec. Cable'!$A34</f>
        <v>4000A</v>
      </c>
      <c r="P34" s="61">
        <v>95</v>
      </c>
      <c r="Q34" s="40"/>
      <c r="R34" s="65">
        <v>30.8</v>
      </c>
      <c r="S34" s="66">
        <v>33</v>
      </c>
      <c r="T34" s="66">
        <v>33</v>
      </c>
      <c r="U34" s="64"/>
      <c r="V34" s="17"/>
      <c r="X34" s="15"/>
      <c r="Y34" s="15"/>
      <c r="Z34" s="15"/>
      <c r="AA34" s="15"/>
      <c r="AB34" s="15"/>
      <c r="AC34" s="15"/>
      <c r="AD34" s="15"/>
      <c r="BA34" s="185" t="e" cm="1">
        <f t="array" ref="BA34">INDEX(TRANSPOSE(DanhSachSheet), ROW()-ROW(Table17[#Headers]))</f>
        <v>#REF!</v>
      </c>
    </row>
    <row r="35" spans="1:53" x14ac:dyDescent="0.25">
      <c r="P35" s="61">
        <v>120</v>
      </c>
      <c r="Q35" s="40"/>
      <c r="R35" s="65">
        <v>34.200000000000003</v>
      </c>
      <c r="S35" s="63">
        <v>36.4</v>
      </c>
      <c r="T35" s="63">
        <v>36.4</v>
      </c>
      <c r="U35" s="67"/>
      <c r="V35" s="17"/>
      <c r="X35" s="15"/>
      <c r="Y35" s="15"/>
      <c r="Z35" s="15"/>
      <c r="AA35" s="15"/>
      <c r="AB35" s="15"/>
      <c r="AC35" s="15"/>
      <c r="AD35" s="15"/>
      <c r="BA35" s="185" t="e" cm="1">
        <f t="array" ref="BA35">INDEX(TRANSPOSE(DanhSachSheet), ROW()-ROW(Table17[#Headers]))</f>
        <v>#REF!</v>
      </c>
    </row>
    <row r="36" spans="1:53" x14ac:dyDescent="0.25">
      <c r="P36" s="61">
        <v>150</v>
      </c>
      <c r="Q36" s="40"/>
      <c r="R36" s="69">
        <v>38</v>
      </c>
      <c r="S36" s="63">
        <v>40.299999999999997</v>
      </c>
      <c r="T36" s="63">
        <v>40.299999999999997</v>
      </c>
      <c r="U36" s="67"/>
      <c r="V36" s="17"/>
      <c r="X36" s="15"/>
      <c r="Y36" s="15"/>
      <c r="Z36" s="15"/>
      <c r="AA36" s="15"/>
      <c r="AB36" s="15"/>
      <c r="AC36" s="15"/>
      <c r="AD36" s="15"/>
      <c r="BA36" s="185" t="e" cm="1">
        <f t="array" ref="BA36">INDEX(TRANSPOSE(DanhSachSheet), ROW()-ROW(Table17[#Headers]))</f>
        <v>#REF!</v>
      </c>
    </row>
    <row r="37" spans="1:53" x14ac:dyDescent="0.25">
      <c r="P37" s="61">
        <v>185</v>
      </c>
      <c r="Q37" s="40"/>
      <c r="R37" s="69">
        <v>42.1</v>
      </c>
      <c r="S37" s="63">
        <v>44.4</v>
      </c>
      <c r="T37" s="63">
        <v>44.4</v>
      </c>
      <c r="U37" s="64"/>
      <c r="V37" s="17"/>
      <c r="X37" s="15"/>
      <c r="Y37" s="15"/>
      <c r="Z37" s="15"/>
      <c r="AA37" s="15"/>
      <c r="AB37" s="15"/>
      <c r="AC37" s="15"/>
      <c r="AD37" s="15"/>
      <c r="BA37" s="185" t="e" cm="1">
        <f t="array" ref="BA37">INDEX(TRANSPOSE(DanhSachSheet), ROW()-ROW(Table17[#Headers]))</f>
        <v>#REF!</v>
      </c>
    </row>
    <row r="38" spans="1:53" x14ac:dyDescent="0.25">
      <c r="P38" s="61">
        <v>240</v>
      </c>
      <c r="Q38" s="40"/>
      <c r="R38" s="69">
        <v>48</v>
      </c>
      <c r="S38" s="63">
        <v>50.2</v>
      </c>
      <c r="T38" s="63">
        <v>50.2</v>
      </c>
      <c r="U38" s="64"/>
      <c r="V38" s="17"/>
      <c r="X38" s="15"/>
      <c r="Y38" s="15"/>
      <c r="Z38" s="15"/>
      <c r="AA38" s="15"/>
      <c r="AB38" s="15"/>
      <c r="AC38" s="15"/>
      <c r="AD38" s="15"/>
      <c r="BA38" s="185" t="e" cm="1">
        <f t="array" ref="BA38">INDEX(TRANSPOSE(DanhSachSheet), ROW()-ROW(Table17[#Headers]))</f>
        <v>#REF!</v>
      </c>
    </row>
    <row r="39" spans="1:53" x14ac:dyDescent="0.25">
      <c r="P39" s="61">
        <v>300</v>
      </c>
      <c r="Q39" s="40"/>
      <c r="R39" s="65">
        <v>53.5</v>
      </c>
      <c r="S39" s="63">
        <v>55.7</v>
      </c>
      <c r="T39" s="63">
        <v>55.7</v>
      </c>
      <c r="U39" s="64"/>
      <c r="V39" s="17"/>
      <c r="X39" s="15"/>
      <c r="Y39" s="15"/>
      <c r="Z39" s="15"/>
      <c r="AA39" s="15"/>
      <c r="AB39" s="15"/>
      <c r="AC39" s="15"/>
      <c r="AD39" s="15"/>
      <c r="BA39" s="185" t="e" cm="1">
        <f t="array" ref="BA39">INDEX(TRANSPOSE(DanhSachSheet), ROW()-ROW(Table17[#Headers]))</f>
        <v>#REF!</v>
      </c>
    </row>
    <row r="40" spans="1:53" ht="15.75" thickBot="1" x14ac:dyDescent="0.3">
      <c r="P40" s="61">
        <v>400</v>
      </c>
      <c r="Q40" s="40"/>
      <c r="R40" s="70">
        <v>60.2</v>
      </c>
      <c r="S40" s="71">
        <v>62.5</v>
      </c>
      <c r="T40" s="71">
        <v>62.5</v>
      </c>
      <c r="U40" s="72"/>
      <c r="V40" s="17"/>
      <c r="X40" s="15"/>
      <c r="Y40" s="15"/>
      <c r="Z40" s="15"/>
      <c r="AA40" s="15"/>
      <c r="AB40" s="15"/>
      <c r="AC40" s="15"/>
      <c r="AD40" s="15"/>
      <c r="BA40" s="185" t="e" cm="1">
        <f t="array" ref="BA40">INDEX(TRANSPOSE(DanhSachSheet), ROW()-ROW(Table17[#Headers]))</f>
        <v>#REF!</v>
      </c>
    </row>
    <row r="41" spans="1:53" x14ac:dyDescent="0.25">
      <c r="P41" s="61">
        <v>500</v>
      </c>
      <c r="Q41" s="40"/>
      <c r="R41" s="40"/>
      <c r="S41" s="40"/>
      <c r="T41" s="58"/>
      <c r="U41" s="40"/>
      <c r="V41" s="17"/>
      <c r="X41" s="15"/>
      <c r="Y41" s="15"/>
      <c r="Z41" s="15"/>
      <c r="AA41" s="15"/>
      <c r="AB41" s="15"/>
      <c r="AC41" s="15"/>
      <c r="AD41" s="15"/>
      <c r="BA41" s="185" t="e" cm="1">
        <f t="array" ref="BA41">INDEX(TRANSPOSE(DanhSachSheet), ROW()-ROW(Table17[#Headers]))</f>
        <v>#REF!</v>
      </c>
    </row>
    <row r="42" spans="1:53" x14ac:dyDescent="0.25">
      <c r="P42" s="61">
        <v>630</v>
      </c>
      <c r="Q42" s="40"/>
      <c r="R42" s="40"/>
      <c r="S42" s="40"/>
      <c r="T42" s="58"/>
      <c r="U42" s="40"/>
      <c r="V42" s="17"/>
      <c r="X42" s="15"/>
      <c r="Y42" s="15"/>
      <c r="Z42" s="15"/>
      <c r="AA42" s="15"/>
      <c r="AB42" s="15"/>
      <c r="AC42" s="15"/>
      <c r="AD42" s="15"/>
      <c r="BA42" s="185" t="e" cm="1">
        <f t="array" ref="BA42">INDEX(TRANSPOSE(DanhSachSheet), ROW()-ROW(Table17[#Headers]))</f>
        <v>#REF!</v>
      </c>
    </row>
    <row r="43" spans="1:53" ht="19.5" x14ac:dyDescent="0.25">
      <c r="P43" s="29" t="s">
        <v>141</v>
      </c>
      <c r="Q43" s="30"/>
      <c r="R43" s="30"/>
      <c r="S43" s="30"/>
      <c r="T43" s="31"/>
      <c r="U43" s="30"/>
      <c r="V43" s="17"/>
      <c r="X43" s="15"/>
      <c r="Y43" s="15"/>
      <c r="Z43" s="15"/>
      <c r="AA43" s="15"/>
      <c r="AB43" s="15"/>
      <c r="AC43" s="15"/>
      <c r="AD43" s="15"/>
      <c r="BA43" s="185" t="e" cm="1">
        <f t="array" ref="BA43">INDEX(TRANSPOSE(DanhSachSheet), ROW()-ROW(Table17[#Headers]))</f>
        <v>#REF!</v>
      </c>
    </row>
    <row r="44" spans="1:53" x14ac:dyDescent="0.25">
      <c r="P44" s="61">
        <v>1.5</v>
      </c>
      <c r="Q44" s="40"/>
      <c r="R44" s="62">
        <v>10.6</v>
      </c>
      <c r="S44" s="63">
        <v>13.1</v>
      </c>
      <c r="T44" s="63">
        <v>13.1</v>
      </c>
      <c r="U44" s="64">
        <v>11.1</v>
      </c>
      <c r="V44" s="17"/>
      <c r="BA44" s="185" t="e" cm="1">
        <f t="array" ref="BA44">INDEX(TRANSPOSE(DanhSachSheet), ROW()-ROW(Table17[#Headers]))</f>
        <v>#REF!</v>
      </c>
    </row>
    <row r="45" spans="1:53" x14ac:dyDescent="0.25">
      <c r="P45" s="61">
        <v>2.5</v>
      </c>
      <c r="Q45" s="40"/>
      <c r="R45" s="65">
        <v>11.6</v>
      </c>
      <c r="S45" s="63">
        <v>14</v>
      </c>
      <c r="T45" s="63">
        <v>14</v>
      </c>
      <c r="U45" s="64">
        <v>12</v>
      </c>
      <c r="V45" s="17"/>
      <c r="BA45" s="185" t="e" cm="1">
        <f t="array" ref="BA45">INDEX(TRANSPOSE(DanhSachSheet), ROW()-ROW(Table17[#Headers]))</f>
        <v>#REF!</v>
      </c>
    </row>
    <row r="46" spans="1:53" x14ac:dyDescent="0.25">
      <c r="P46" s="73">
        <v>4</v>
      </c>
      <c r="Q46" s="40"/>
      <c r="R46" s="65">
        <v>12.8</v>
      </c>
      <c r="S46" s="63">
        <v>15.2</v>
      </c>
      <c r="T46" s="63">
        <v>15.2</v>
      </c>
      <c r="U46" s="64">
        <v>14.1</v>
      </c>
      <c r="W46" s="59"/>
      <c r="BA46" s="185" t="e" cm="1">
        <f t="array" ref="BA46">INDEX(TRANSPOSE(DanhSachSheet), ROW()-ROW(Table17[#Headers]))</f>
        <v>#REF!</v>
      </c>
    </row>
    <row r="47" spans="1:53" x14ac:dyDescent="0.25">
      <c r="P47" s="61">
        <v>6</v>
      </c>
      <c r="Q47" s="40"/>
      <c r="R47" s="65">
        <v>14</v>
      </c>
      <c r="S47" s="63">
        <v>16.399999999999999</v>
      </c>
      <c r="T47" s="63">
        <v>16.399999999999999</v>
      </c>
      <c r="U47" s="64">
        <v>15.3</v>
      </c>
      <c r="W47" s="59"/>
      <c r="BA47" s="185" t="e" cm="1">
        <f t="array" ref="BA47">INDEX(TRANSPOSE(DanhSachSheet), ROW()-ROW(Table17[#Headers]))</f>
        <v>#REF!</v>
      </c>
    </row>
    <row r="48" spans="1:53" x14ac:dyDescent="0.25">
      <c r="P48" s="61">
        <v>10</v>
      </c>
      <c r="Q48" s="40"/>
      <c r="R48" s="62">
        <v>14.6</v>
      </c>
      <c r="S48" s="63">
        <v>17</v>
      </c>
      <c r="T48" s="63">
        <v>17</v>
      </c>
      <c r="U48" s="64">
        <v>15.9</v>
      </c>
      <c r="W48" s="59"/>
      <c r="BA48" s="185" t="e" cm="1">
        <f t="array" ref="BA48">INDEX(TRANSPOSE(DanhSachSheet), ROW()-ROW(Table17[#Headers]))</f>
        <v>#REF!</v>
      </c>
    </row>
    <row r="49" spans="16:53" x14ac:dyDescent="0.25">
      <c r="P49" s="61">
        <v>16</v>
      </c>
      <c r="Q49" s="40"/>
      <c r="R49" s="65">
        <v>16.5</v>
      </c>
      <c r="S49" s="63">
        <v>18.899999999999999</v>
      </c>
      <c r="T49" s="63">
        <v>18.899999999999999</v>
      </c>
      <c r="U49" s="64">
        <v>17.8</v>
      </c>
      <c r="W49" s="59"/>
      <c r="BA49" s="185" t="e" cm="1">
        <f t="array" ref="BA49">INDEX(TRANSPOSE(DanhSachSheet), ROW()-ROW(Table17[#Headers]))</f>
        <v>#REF!</v>
      </c>
    </row>
    <row r="50" spans="16:53" x14ac:dyDescent="0.25">
      <c r="P50" s="61">
        <v>25</v>
      </c>
      <c r="Q50" s="40"/>
      <c r="R50" s="62">
        <v>19.899999999999999</v>
      </c>
      <c r="S50" s="63">
        <v>22.3</v>
      </c>
      <c r="T50" s="63">
        <v>22.3</v>
      </c>
      <c r="U50" s="64">
        <v>21.2</v>
      </c>
      <c r="W50" s="59"/>
      <c r="BA50" s="185" t="e" cm="1">
        <f t="array" ref="BA50">INDEX(TRANSPOSE(DanhSachSheet), ROW()-ROW(Table17[#Headers]))</f>
        <v>#REF!</v>
      </c>
    </row>
    <row r="51" spans="16:53" x14ac:dyDescent="0.25">
      <c r="P51" s="61">
        <v>35</v>
      </c>
      <c r="Q51" s="40"/>
      <c r="R51" s="65">
        <v>22.1</v>
      </c>
      <c r="S51" s="63">
        <v>24.5</v>
      </c>
      <c r="T51" s="63">
        <v>24.5</v>
      </c>
      <c r="U51" s="64">
        <v>23.4</v>
      </c>
      <c r="W51" s="59"/>
      <c r="BA51" s="185" t="e" cm="1">
        <f t="array" ref="BA51">INDEX(TRANSPOSE(DanhSachSheet), ROW()-ROW(Table17[#Headers]))</f>
        <v>#REF!</v>
      </c>
    </row>
    <row r="52" spans="16:53" x14ac:dyDescent="0.25">
      <c r="P52" s="61">
        <v>50</v>
      </c>
      <c r="Q52" s="40"/>
      <c r="R52" s="65">
        <v>25</v>
      </c>
      <c r="S52" s="63">
        <v>27.5</v>
      </c>
      <c r="T52" s="63">
        <v>27.5</v>
      </c>
      <c r="U52" s="64"/>
      <c r="W52" s="59"/>
      <c r="BA52" s="185" t="e" cm="1">
        <f t="array" ref="BA52">INDEX(TRANSPOSE(DanhSachSheet), ROW()-ROW(Table17[#Headers]))</f>
        <v>#REF!</v>
      </c>
    </row>
    <row r="53" spans="16:53" x14ac:dyDescent="0.25">
      <c r="P53" s="61">
        <v>70</v>
      </c>
      <c r="Q53" s="40"/>
      <c r="R53" s="65">
        <v>29.3</v>
      </c>
      <c r="S53" s="63">
        <v>31.7</v>
      </c>
      <c r="T53" s="63">
        <v>31.7</v>
      </c>
      <c r="U53" s="64"/>
      <c r="W53" s="59"/>
      <c r="BA53" s="185" t="e" cm="1">
        <f t="array" ref="BA53">INDEX(TRANSPOSE(DanhSachSheet), ROW()-ROW(Table17[#Headers]))</f>
        <v>#REF!</v>
      </c>
    </row>
    <row r="54" spans="16:53" x14ac:dyDescent="0.25">
      <c r="P54" s="61">
        <v>95</v>
      </c>
      <c r="Q54" s="40"/>
      <c r="R54" s="65">
        <v>33</v>
      </c>
      <c r="S54" s="63">
        <v>35.4</v>
      </c>
      <c r="T54" s="63">
        <v>35.4</v>
      </c>
      <c r="U54" s="64"/>
      <c r="W54" s="59"/>
      <c r="BA54" s="185" t="e" cm="1">
        <f t="array" ref="BA54">INDEX(TRANSPOSE(DanhSachSheet), ROW()-ROW(Table17[#Headers]))</f>
        <v>#REF!</v>
      </c>
    </row>
    <row r="55" spans="16:53" x14ac:dyDescent="0.25">
      <c r="P55" s="61">
        <v>120</v>
      </c>
      <c r="Q55" s="40"/>
      <c r="R55" s="65">
        <v>36.6</v>
      </c>
      <c r="S55" s="63">
        <v>39</v>
      </c>
      <c r="T55" s="63">
        <v>39</v>
      </c>
      <c r="U55" s="67"/>
      <c r="W55" s="59"/>
      <c r="BA55" s="185" t="e" cm="1">
        <f t="array" ref="BA55">INDEX(TRANSPOSE(DanhSachSheet), ROW()-ROW(Table17[#Headers]))</f>
        <v>#REF!</v>
      </c>
    </row>
    <row r="56" spans="16:53" x14ac:dyDescent="0.25">
      <c r="P56" s="61">
        <v>150</v>
      </c>
      <c r="Q56" s="40"/>
      <c r="R56" s="65">
        <v>40.9</v>
      </c>
      <c r="S56" s="63">
        <v>43.3</v>
      </c>
      <c r="T56" s="63">
        <v>43.3</v>
      </c>
      <c r="U56" s="67"/>
      <c r="W56" s="59"/>
      <c r="BA56" s="185" t="e" cm="1">
        <f t="array" ref="BA56">INDEX(TRANSPOSE(DanhSachSheet), ROW()-ROW(Table17[#Headers]))</f>
        <v>#REF!</v>
      </c>
    </row>
    <row r="57" spans="16:53" x14ac:dyDescent="0.25">
      <c r="P57" s="61">
        <v>185</v>
      </c>
      <c r="Q57" s="40"/>
      <c r="R57" s="69">
        <v>45.7</v>
      </c>
      <c r="S57" s="63">
        <v>48.2</v>
      </c>
      <c r="T57" s="63">
        <v>48.2</v>
      </c>
      <c r="U57" s="64"/>
      <c r="W57" s="59"/>
      <c r="BA57" s="185" t="e" cm="1">
        <f t="array" ref="BA57">INDEX(TRANSPOSE(DanhSachSheet), ROW()-ROW(Table17[#Headers]))</f>
        <v>#REF!</v>
      </c>
    </row>
    <row r="58" spans="16:53" x14ac:dyDescent="0.25">
      <c r="P58" s="61">
        <v>240</v>
      </c>
      <c r="Q58" s="40"/>
      <c r="R58" s="65">
        <v>51.6</v>
      </c>
      <c r="S58" s="63">
        <v>54</v>
      </c>
      <c r="T58" s="63">
        <v>54</v>
      </c>
      <c r="U58" s="64"/>
      <c r="W58" s="59"/>
      <c r="BA58" s="185" t="e" cm="1">
        <f t="array" ref="BA58">INDEX(TRANSPOSE(DanhSachSheet), ROW()-ROW(Table17[#Headers]))</f>
        <v>#REF!</v>
      </c>
    </row>
    <row r="59" spans="16:53" x14ac:dyDescent="0.25">
      <c r="P59" s="61">
        <v>300</v>
      </c>
      <c r="Q59" s="40"/>
      <c r="R59" s="65">
        <v>57.5</v>
      </c>
      <c r="S59" s="63">
        <v>59.9</v>
      </c>
      <c r="T59" s="63">
        <v>59.9</v>
      </c>
      <c r="U59" s="64"/>
      <c r="W59" s="59"/>
      <c r="BA59" s="185" t="e" cm="1">
        <f t="array" ref="BA59">INDEX(TRANSPOSE(DanhSachSheet), ROW()-ROW(Table17[#Headers]))</f>
        <v>#REF!</v>
      </c>
    </row>
    <row r="60" spans="16:53" ht="15.75" thickBot="1" x14ac:dyDescent="0.3">
      <c r="P60" s="61">
        <v>400</v>
      </c>
      <c r="Q60" s="40"/>
      <c r="R60" s="70">
        <v>64.900000000000006</v>
      </c>
      <c r="S60" s="71">
        <v>67.8</v>
      </c>
      <c r="T60" s="71">
        <v>67.8</v>
      </c>
      <c r="U60" s="72"/>
      <c r="W60" s="59"/>
      <c r="BA60" s="185" t="e" cm="1">
        <f t="array" ref="BA60">INDEX(TRANSPOSE(DanhSachSheet), ROW()-ROW(Table17[#Headers]))</f>
        <v>#REF!</v>
      </c>
    </row>
    <row r="61" spans="16:53" x14ac:dyDescent="0.25">
      <c r="P61" s="61">
        <v>500</v>
      </c>
      <c r="Q61" s="40"/>
      <c r="R61" s="40"/>
      <c r="S61" s="40"/>
      <c r="T61" s="58"/>
      <c r="U61" s="40"/>
      <c r="W61" s="59"/>
      <c r="BA61" s="185" t="e" cm="1">
        <f t="array" ref="BA61">INDEX(TRANSPOSE(DanhSachSheet), ROW()-ROW(Table17[#Headers]))</f>
        <v>#REF!</v>
      </c>
    </row>
    <row r="62" spans="16:53" x14ac:dyDescent="0.25">
      <c r="P62" s="61">
        <v>630</v>
      </c>
      <c r="Q62" s="40"/>
      <c r="R62" s="40"/>
      <c r="S62" s="40"/>
      <c r="T62" s="58"/>
      <c r="U62" s="40"/>
      <c r="W62" s="59"/>
      <c r="BA62" s="185" t="e" cm="1">
        <f t="array" ref="BA62">INDEX(TRANSPOSE(DanhSachSheet), ROW()-ROW(Table17[#Headers]))</f>
        <v>#REF!</v>
      </c>
    </row>
    <row r="63" spans="16:53" ht="19.5" x14ac:dyDescent="0.25">
      <c r="P63" s="29" t="s">
        <v>142</v>
      </c>
      <c r="Q63" s="30"/>
      <c r="R63" s="30"/>
      <c r="S63" s="30"/>
      <c r="T63" s="31"/>
      <c r="U63" s="30"/>
      <c r="W63" s="59"/>
      <c r="BA63" s="185" t="e" cm="1">
        <f t="array" ref="BA63">INDEX(TRANSPOSE(DanhSachSheet), ROW()-ROW(Table17[#Headers]))</f>
        <v>#REF!</v>
      </c>
    </row>
    <row r="64" spans="16:53" x14ac:dyDescent="0.25">
      <c r="P64" s="61">
        <v>1.5</v>
      </c>
      <c r="Q64" s="40"/>
      <c r="R64" s="62">
        <v>11.4</v>
      </c>
      <c r="S64" s="63">
        <v>14.1</v>
      </c>
      <c r="T64" s="63">
        <v>14.1</v>
      </c>
      <c r="U64" s="64">
        <v>11.9</v>
      </c>
      <c r="W64" s="59"/>
      <c r="BA64" s="185" t="e" cm="1">
        <f t="array" ref="BA64">INDEX(TRANSPOSE(DanhSachSheet), ROW()-ROW(Table17[#Headers]))</f>
        <v>#REF!</v>
      </c>
    </row>
    <row r="65" spans="16:53" x14ac:dyDescent="0.25">
      <c r="P65" s="61">
        <v>2.5</v>
      </c>
      <c r="Q65" s="40"/>
      <c r="R65" s="65">
        <v>12.5</v>
      </c>
      <c r="S65" s="63">
        <v>15.2</v>
      </c>
      <c r="T65" s="63">
        <v>15.2</v>
      </c>
      <c r="U65" s="64">
        <v>13</v>
      </c>
      <c r="W65" s="59"/>
      <c r="BA65" s="185" t="e" cm="1">
        <f t="array" ref="BA65">INDEX(TRANSPOSE(DanhSachSheet), ROW()-ROW(Table17[#Headers]))</f>
        <v>#REF!</v>
      </c>
    </row>
    <row r="66" spans="16:53" x14ac:dyDescent="0.25">
      <c r="P66" s="73">
        <v>4</v>
      </c>
      <c r="Q66" s="40"/>
      <c r="R66" s="65">
        <v>13.8</v>
      </c>
      <c r="S66" s="63">
        <v>16.5</v>
      </c>
      <c r="T66" s="63">
        <v>16.5</v>
      </c>
      <c r="U66" s="64">
        <v>15.3</v>
      </c>
      <c r="W66" s="59"/>
      <c r="BA66" s="185" t="e" cm="1">
        <f t="array" ref="BA66">INDEX(TRANSPOSE(DanhSachSheet), ROW()-ROW(Table17[#Headers]))</f>
        <v>#REF!</v>
      </c>
    </row>
    <row r="67" spans="16:53" x14ac:dyDescent="0.25">
      <c r="P67" s="61">
        <v>6</v>
      </c>
      <c r="Q67" s="40"/>
      <c r="R67" s="65">
        <v>15.2</v>
      </c>
      <c r="S67" s="63">
        <v>17.899999999999999</v>
      </c>
      <c r="T67" s="63">
        <v>17.899999999999999</v>
      </c>
      <c r="U67" s="64">
        <v>16.600000000000001</v>
      </c>
      <c r="W67" s="59"/>
      <c r="BA67" s="185" t="e" cm="1">
        <f t="array" ref="BA67">INDEX(TRANSPOSE(DanhSachSheet), ROW()-ROW(Table17[#Headers]))</f>
        <v>#REF!</v>
      </c>
    </row>
    <row r="68" spans="16:53" x14ac:dyDescent="0.25">
      <c r="P68" s="61">
        <v>10</v>
      </c>
      <c r="Q68" s="40"/>
      <c r="R68" s="62">
        <v>15.9</v>
      </c>
      <c r="S68" s="63">
        <v>18.600000000000001</v>
      </c>
      <c r="T68" s="63">
        <v>18.600000000000001</v>
      </c>
      <c r="U68" s="64">
        <v>17.399999999999999</v>
      </c>
      <c r="W68" s="59"/>
      <c r="BA68" s="185" t="e" cm="1">
        <f t="array" ref="BA68">INDEX(TRANSPOSE(DanhSachSheet), ROW()-ROW(Table17[#Headers]))</f>
        <v>#REF!</v>
      </c>
    </row>
    <row r="69" spans="16:53" x14ac:dyDescent="0.25">
      <c r="P69" s="61">
        <v>16</v>
      </c>
      <c r="Q69" s="40"/>
      <c r="R69" s="65">
        <v>18.100000000000001</v>
      </c>
      <c r="S69" s="63">
        <v>20.8</v>
      </c>
      <c r="T69" s="63">
        <v>20.8</v>
      </c>
      <c r="U69" s="64">
        <v>19.5</v>
      </c>
      <c r="W69" s="59"/>
      <c r="BA69" s="185" t="e" cm="1">
        <f t="array" ref="BA69">INDEX(TRANSPOSE(DanhSachSheet), ROW()-ROW(Table17[#Headers]))</f>
        <v>#REF!</v>
      </c>
    </row>
    <row r="70" spans="16:53" x14ac:dyDescent="0.25">
      <c r="P70" s="61">
        <v>25</v>
      </c>
      <c r="Q70" s="40"/>
      <c r="R70" s="62">
        <v>21.8</v>
      </c>
      <c r="S70" s="63">
        <v>24.5</v>
      </c>
      <c r="T70" s="63">
        <v>24.5</v>
      </c>
      <c r="U70" s="64">
        <v>23.3</v>
      </c>
      <c r="W70" s="59"/>
      <c r="BA70" s="185" t="e" cm="1">
        <f t="array" ref="BA70">INDEX(TRANSPOSE(DanhSachSheet), ROW()-ROW(Table17[#Headers]))</f>
        <v>#REF!</v>
      </c>
    </row>
    <row r="71" spans="16:53" x14ac:dyDescent="0.25">
      <c r="P71" s="61">
        <v>35</v>
      </c>
      <c r="Q71" s="40"/>
      <c r="R71" s="65">
        <v>24.4</v>
      </c>
      <c r="S71" s="63">
        <v>27.1</v>
      </c>
      <c r="T71" s="63">
        <v>27.1</v>
      </c>
      <c r="U71" s="64">
        <v>25.8</v>
      </c>
      <c r="W71" s="59"/>
      <c r="BA71" s="185" t="e" cm="1">
        <f t="array" ref="BA71">INDEX(TRANSPOSE(DanhSachSheet), ROW()-ROW(Table17[#Headers]))</f>
        <v>#REF!</v>
      </c>
    </row>
    <row r="72" spans="16:53" x14ac:dyDescent="0.25">
      <c r="P72" s="61">
        <v>50</v>
      </c>
      <c r="Q72" s="40"/>
      <c r="R72" s="65">
        <v>27.8</v>
      </c>
      <c r="S72" s="63">
        <v>30.5</v>
      </c>
      <c r="T72" s="63">
        <v>30.5</v>
      </c>
      <c r="U72" s="64"/>
      <c r="W72" s="59"/>
      <c r="BA72" s="185" t="e" cm="1">
        <f t="array" ref="BA72">INDEX(TRANSPOSE(DanhSachSheet), ROW()-ROW(Table17[#Headers]))</f>
        <v>#REF!</v>
      </c>
    </row>
    <row r="73" spans="16:53" x14ac:dyDescent="0.25">
      <c r="P73" s="61">
        <v>70</v>
      </c>
      <c r="Q73" s="40"/>
      <c r="R73" s="65">
        <v>32.6</v>
      </c>
      <c r="S73" s="63">
        <v>35.299999999999997</v>
      </c>
      <c r="T73" s="63">
        <v>35.299999999999997</v>
      </c>
      <c r="U73" s="64"/>
      <c r="W73" s="59"/>
      <c r="BA73" s="185" t="e" cm="1">
        <f t="array" ref="BA73">INDEX(TRANSPOSE(DanhSachSheet), ROW()-ROW(Table17[#Headers]))</f>
        <v>#REF!</v>
      </c>
    </row>
    <row r="74" spans="16:53" x14ac:dyDescent="0.25">
      <c r="P74" s="61">
        <v>95</v>
      </c>
      <c r="Q74" s="40"/>
      <c r="R74" s="65">
        <v>36.700000000000003</v>
      </c>
      <c r="S74" s="63">
        <v>39.4</v>
      </c>
      <c r="T74" s="63">
        <v>39.4</v>
      </c>
      <c r="U74" s="64"/>
      <c r="W74" s="59"/>
      <c r="BA74" s="185" t="e" cm="1">
        <f t="array" ref="BA74">INDEX(TRANSPOSE(DanhSachSheet), ROW()-ROW(Table17[#Headers]))</f>
        <v>#REF!</v>
      </c>
    </row>
    <row r="75" spans="16:53" x14ac:dyDescent="0.25">
      <c r="P75" s="61">
        <v>120</v>
      </c>
      <c r="Q75" s="40"/>
      <c r="R75" s="65">
        <v>40.9</v>
      </c>
      <c r="S75" s="63">
        <v>43.6</v>
      </c>
      <c r="T75" s="63">
        <v>43.6</v>
      </c>
      <c r="U75" s="67"/>
      <c r="W75" s="59"/>
      <c r="BA75" s="185" t="e" cm="1">
        <f t="array" ref="BA75">INDEX(TRANSPOSE(DanhSachSheet), ROW()-ROW(Table17[#Headers]))</f>
        <v>#REF!</v>
      </c>
    </row>
    <row r="76" spans="16:53" x14ac:dyDescent="0.25">
      <c r="P76" s="61">
        <v>150</v>
      </c>
      <c r="Q76" s="40"/>
      <c r="R76" s="65">
        <v>45.9</v>
      </c>
      <c r="S76" s="63">
        <v>48.6</v>
      </c>
      <c r="T76" s="63">
        <v>48.6</v>
      </c>
      <c r="U76" s="67"/>
      <c r="W76" s="59"/>
      <c r="BA76" s="185" t="e" cm="1">
        <f t="array" ref="BA76">INDEX(TRANSPOSE(DanhSachSheet), ROW()-ROW(Table17[#Headers]))</f>
        <v>#REF!</v>
      </c>
    </row>
    <row r="77" spans="16:53" x14ac:dyDescent="0.25">
      <c r="P77" s="61">
        <v>185</v>
      </c>
      <c r="Q77" s="40"/>
      <c r="R77" s="69">
        <v>51</v>
      </c>
      <c r="S77" s="63">
        <v>53.7</v>
      </c>
      <c r="T77" s="63">
        <v>53.7</v>
      </c>
      <c r="U77" s="64"/>
      <c r="W77" s="59"/>
      <c r="BA77" s="185" t="e" cm="1">
        <f t="array" ref="BA77">INDEX(TRANSPOSE(DanhSachSheet), ROW()-ROW(Table17[#Headers]))</f>
        <v>#REF!</v>
      </c>
    </row>
    <row r="78" spans="16:53" x14ac:dyDescent="0.25">
      <c r="P78" s="61">
        <v>240</v>
      </c>
      <c r="Q78" s="40"/>
      <c r="R78" s="65">
        <v>57.5</v>
      </c>
      <c r="S78" s="63">
        <v>60.2</v>
      </c>
      <c r="T78" s="63">
        <v>60.2</v>
      </c>
      <c r="U78" s="64"/>
      <c r="W78" s="59"/>
      <c r="BA78" s="185" t="e" cm="1">
        <f t="array" ref="BA78">INDEX(TRANSPOSE(DanhSachSheet), ROW()-ROW(Table17[#Headers]))</f>
        <v>#REF!</v>
      </c>
    </row>
    <row r="79" spans="16:53" x14ac:dyDescent="0.25">
      <c r="P79" s="61">
        <v>300</v>
      </c>
      <c r="Q79" s="40"/>
      <c r="R79" s="65">
        <v>64.099999999999994</v>
      </c>
      <c r="S79" s="63">
        <v>67.2</v>
      </c>
      <c r="T79" s="63">
        <v>67.2</v>
      </c>
      <c r="U79" s="64"/>
      <c r="W79" s="59"/>
      <c r="BA79" s="185" t="e" cm="1">
        <f t="array" ref="BA79">INDEX(TRANSPOSE(DanhSachSheet), ROW()-ROW(Table17[#Headers]))</f>
        <v>#REF!</v>
      </c>
    </row>
    <row r="80" spans="16:53" ht="15.75" thickBot="1" x14ac:dyDescent="0.3">
      <c r="P80" s="61">
        <v>400</v>
      </c>
      <c r="Q80" s="40"/>
      <c r="R80" s="70">
        <v>72.8</v>
      </c>
      <c r="S80" s="71">
        <v>75.5</v>
      </c>
      <c r="T80" s="71">
        <v>75.5</v>
      </c>
      <c r="U80" s="72"/>
      <c r="W80" s="59"/>
      <c r="BA80" s="185" t="e" cm="1">
        <f t="array" ref="BA80">INDEX(TRANSPOSE(DanhSachSheet), ROW()-ROW(Table17[#Headers]))</f>
        <v>#REF!</v>
      </c>
    </row>
    <row r="81" spans="16:53" x14ac:dyDescent="0.25">
      <c r="P81" s="61">
        <v>500</v>
      </c>
      <c r="Q81" s="40"/>
      <c r="R81" s="40"/>
      <c r="S81" s="40"/>
      <c r="T81" s="58"/>
      <c r="U81" s="40"/>
      <c r="W81" s="59"/>
      <c r="BA81" s="185" t="e" cm="1">
        <f t="array" ref="BA81">INDEX(TRANSPOSE(DanhSachSheet), ROW()-ROW(Table17[#Headers]))</f>
        <v>#REF!</v>
      </c>
    </row>
    <row r="82" spans="16:53" x14ac:dyDescent="0.25">
      <c r="P82" s="61">
        <v>630</v>
      </c>
      <c r="Q82" s="40"/>
      <c r="R82" s="40"/>
      <c r="S82" s="40"/>
      <c r="T82" s="58"/>
      <c r="U82" s="40"/>
      <c r="W82" s="59"/>
      <c r="BA82" s="185" t="e" cm="1">
        <f t="array" ref="BA82">INDEX(TRANSPOSE(DanhSachSheet), ROW()-ROW(Table17[#Headers]))</f>
        <v>#REF!</v>
      </c>
    </row>
    <row r="83" spans="16:53" x14ac:dyDescent="0.25">
      <c r="BA83" s="185" t="e" cm="1">
        <f t="array" ref="BA83">INDEX(TRANSPOSE(DanhSachSheet), ROW()-ROW(Table17[#Headers]))</f>
        <v>#REF!</v>
      </c>
    </row>
    <row r="84" spans="16:53" x14ac:dyDescent="0.25">
      <c r="BA84" s="185" t="e" cm="1">
        <f t="array" ref="BA84">INDEX(TRANSPOSE(DanhSachSheet), ROW()-ROW(Table17[#Headers]))</f>
        <v>#REF!</v>
      </c>
    </row>
    <row r="85" spans="16:53" x14ac:dyDescent="0.25">
      <c r="BA85" s="185" t="e" cm="1">
        <f t="array" ref="BA85">INDEX(TRANSPOSE(DanhSachSheet), ROW()-ROW(Table17[#Headers]))</f>
        <v>#REF!</v>
      </c>
    </row>
    <row r="86" spans="16:53" x14ac:dyDescent="0.25">
      <c r="BA86" s="185" t="e" cm="1">
        <f t="array" ref="BA86">INDEX(TRANSPOSE(DanhSachSheet), ROW()-ROW(Table17[#Headers]))</f>
        <v>#REF!</v>
      </c>
    </row>
    <row r="87" spans="16:53" x14ac:dyDescent="0.25">
      <c r="BA87" s="185" t="e" cm="1">
        <f t="array" ref="BA87">INDEX(TRANSPOSE(DanhSachSheet), ROW()-ROW(Table17[#Headers]))</f>
        <v>#REF!</v>
      </c>
    </row>
    <row r="88" spans="16:53" x14ac:dyDescent="0.25">
      <c r="BA88" s="185" t="e" cm="1">
        <f t="array" ref="BA88">INDEX(TRANSPOSE(DanhSachSheet), ROW()-ROW(Table17[#Headers]))</f>
        <v>#REF!</v>
      </c>
    </row>
    <row r="89" spans="16:53" x14ac:dyDescent="0.25">
      <c r="BA89" s="185" t="e" cm="1">
        <f t="array" ref="BA89">INDEX(TRANSPOSE(DanhSachSheet), ROW()-ROW(Table17[#Headers]))</f>
        <v>#REF!</v>
      </c>
    </row>
    <row r="90" spans="16:53" x14ac:dyDescent="0.25">
      <c r="BA90" s="185" t="e" cm="1">
        <f t="array" ref="BA90">INDEX(TRANSPOSE(DanhSachSheet), ROW()-ROW(Table17[#Headers]))</f>
        <v>#REF!</v>
      </c>
    </row>
    <row r="91" spans="16:53" x14ac:dyDescent="0.25">
      <c r="BA91" s="185" t="e" cm="1">
        <f t="array" ref="BA91">INDEX(TRANSPOSE(DanhSachSheet), ROW()-ROW(Table17[#Headers]))</f>
        <v>#REF!</v>
      </c>
    </row>
    <row r="92" spans="16:53" x14ac:dyDescent="0.25">
      <c r="BA92" s="185" t="e" cm="1">
        <f t="array" ref="BA92">INDEX(TRANSPOSE(DanhSachSheet), ROW()-ROW(Table17[#Headers]))</f>
        <v>#REF!</v>
      </c>
    </row>
    <row r="93" spans="16:53" x14ac:dyDescent="0.25">
      <c r="BA93" s="185" t="e" cm="1">
        <f t="array" ref="BA93">INDEX(TRANSPOSE(DanhSachSheet), ROW()-ROW(Table17[#Headers]))</f>
        <v>#REF!</v>
      </c>
    </row>
    <row r="94" spans="16:53" x14ac:dyDescent="0.25">
      <c r="BA94" s="185" t="e" cm="1">
        <f t="array" ref="BA94">INDEX(TRANSPOSE(DanhSachSheet), ROW()-ROW(Table17[#Headers]))</f>
        <v>#REF!</v>
      </c>
    </row>
    <row r="95" spans="16:53" x14ac:dyDescent="0.25">
      <c r="BA95" s="185" t="e" cm="1">
        <f t="array" ref="BA95">INDEX(TRANSPOSE(DanhSachSheet), ROW()-ROW(Table17[#Headers]))</f>
        <v>#REF!</v>
      </c>
    </row>
    <row r="96" spans="16:53" x14ac:dyDescent="0.25">
      <c r="BA96" s="185" t="e" cm="1">
        <f t="array" ref="BA96">INDEX(TRANSPOSE(DanhSachSheet), ROW()-ROW(Table17[#Headers]))</f>
        <v>#REF!</v>
      </c>
    </row>
    <row r="97" spans="53:53" x14ac:dyDescent="0.25">
      <c r="BA97" s="185" t="e" cm="1">
        <f t="array" ref="BA97">INDEX(TRANSPOSE(DanhSachSheet), ROW()-ROW(Table17[#Headers]))</f>
        <v>#REF!</v>
      </c>
    </row>
    <row r="98" spans="53:53" x14ac:dyDescent="0.25">
      <c r="BA98" s="185" t="e" cm="1">
        <f t="array" ref="BA98">INDEX(TRANSPOSE(DanhSachSheet), ROW()-ROW(Table17[#Headers]))</f>
        <v>#REF!</v>
      </c>
    </row>
    <row r="99" spans="53:53" x14ac:dyDescent="0.25">
      <c r="BA99" s="185" t="e" cm="1">
        <f t="array" ref="BA99">INDEX(TRANSPOSE(DanhSachSheet), ROW()-ROW(Table17[#Headers]))</f>
        <v>#REF!</v>
      </c>
    </row>
    <row r="100" spans="53:53" x14ac:dyDescent="0.25">
      <c r="BA100" s="185" t="e" cm="1">
        <f t="array" ref="BA100">INDEX(TRANSPOSE(DanhSachSheet), ROW()-ROW(Table17[#Headers]))</f>
        <v>#REF!</v>
      </c>
    </row>
    <row r="101" spans="53:53" x14ac:dyDescent="0.25">
      <c r="BA101" s="185" t="e" cm="1">
        <f t="array" ref="BA101">INDEX(TRANSPOSE(DanhSachSheet), ROW()-ROW(Table17[#Headers]))</f>
        <v>#REF!</v>
      </c>
    </row>
    <row r="102" spans="53:53" x14ac:dyDescent="0.25">
      <c r="BA102" s="185" t="e" cm="1">
        <f t="array" ref="BA102">INDEX(TRANSPOSE(DanhSachSheet), ROW()-ROW(Table17[#Headers]))</f>
        <v>#REF!</v>
      </c>
    </row>
    <row r="103" spans="53:53" x14ac:dyDescent="0.25">
      <c r="BA103" s="185" t="e" cm="1">
        <f t="array" ref="BA103">INDEX(TRANSPOSE(DanhSachSheet), ROW()-ROW(Table17[#Headers]))</f>
        <v>#REF!</v>
      </c>
    </row>
    <row r="104" spans="53:53" x14ac:dyDescent="0.25">
      <c r="BA104" s="185" t="e" cm="1">
        <f t="array" ref="BA104">INDEX(TRANSPOSE(DanhSachSheet), ROW()-ROW(Table17[#Headers]))</f>
        <v>#REF!</v>
      </c>
    </row>
    <row r="105" spans="53:53" x14ac:dyDescent="0.25">
      <c r="BA105" s="185" t="e" cm="1">
        <f t="array" ref="BA105">INDEX(TRANSPOSE(DanhSachSheet), ROW()-ROW(Table17[#Headers]))</f>
        <v>#REF!</v>
      </c>
    </row>
    <row r="106" spans="53:53" x14ac:dyDescent="0.25">
      <c r="BA106" s="185" t="e" cm="1">
        <f t="array" ref="BA106">INDEX(TRANSPOSE(DanhSachSheet), ROW()-ROW(Table17[#Headers]))</f>
        <v>#REF!</v>
      </c>
    </row>
    <row r="107" spans="53:53" x14ac:dyDescent="0.25">
      <c r="BA107" s="185" t="e" cm="1">
        <f t="array" ref="BA107">INDEX(TRANSPOSE(DanhSachSheet), ROW()-ROW(Table17[#Headers]))</f>
        <v>#REF!</v>
      </c>
    </row>
    <row r="108" spans="53:53" x14ac:dyDescent="0.25">
      <c r="BA108" s="185" t="e" cm="1">
        <f t="array" ref="BA108">INDEX(TRANSPOSE(DanhSachSheet), ROW()-ROW(Table17[#Headers]))</f>
        <v>#REF!</v>
      </c>
    </row>
    <row r="109" spans="53:53" x14ac:dyDescent="0.25">
      <c r="BA109" s="185" t="e" cm="1">
        <f t="array" ref="BA109">INDEX(TRANSPOSE(DanhSachSheet), ROW()-ROW(Table17[#Headers]))</f>
        <v>#REF!</v>
      </c>
    </row>
    <row r="110" spans="53:53" x14ac:dyDescent="0.25">
      <c r="BA110" s="185" t="e" cm="1">
        <f t="array" ref="BA110">INDEX(TRANSPOSE(DanhSachSheet), ROW()-ROW(Table17[#Headers]))</f>
        <v>#REF!</v>
      </c>
    </row>
    <row r="111" spans="53:53" x14ac:dyDescent="0.25">
      <c r="BA111" s="185" t="e" cm="1">
        <f t="array" ref="BA111">INDEX(TRANSPOSE(DanhSachSheet), ROW()-ROW(Table17[#Headers]))</f>
        <v>#REF!</v>
      </c>
    </row>
    <row r="112" spans="53:53" x14ac:dyDescent="0.25">
      <c r="BA112" s="185" t="e" cm="1">
        <f t="array" ref="BA112">INDEX(TRANSPOSE(DanhSachSheet), ROW()-ROW(Table17[#Headers]))</f>
        <v>#REF!</v>
      </c>
    </row>
    <row r="113" spans="53:53" x14ac:dyDescent="0.25">
      <c r="BA113" s="185" t="e" cm="1">
        <f t="array" ref="BA113">INDEX(TRANSPOSE(DanhSachSheet), ROW()-ROW(Table17[#Headers]))</f>
        <v>#REF!</v>
      </c>
    </row>
    <row r="114" spans="53:53" x14ac:dyDescent="0.25">
      <c r="BA114" s="185" t="e" cm="1">
        <f t="array" ref="BA114">INDEX(TRANSPOSE(DanhSachSheet), ROW()-ROW(Table17[#Headers]))</f>
        <v>#REF!</v>
      </c>
    </row>
    <row r="115" spans="53:53" x14ac:dyDescent="0.25">
      <c r="BA115" s="185" t="e" cm="1">
        <f t="array" ref="BA115">INDEX(TRANSPOSE(DanhSachSheet), ROW()-ROW(Table17[#Headers]))</f>
        <v>#REF!</v>
      </c>
    </row>
    <row r="116" spans="53:53" x14ac:dyDescent="0.25">
      <c r="BA116" s="185" t="e" cm="1">
        <f t="array" ref="BA116">INDEX(TRANSPOSE(DanhSachSheet), ROW()-ROW(Table17[#Headers]))</f>
        <v>#REF!</v>
      </c>
    </row>
    <row r="117" spans="53:53" x14ac:dyDescent="0.25">
      <c r="BA117" s="185" t="e" cm="1">
        <f t="array" ref="BA117">INDEX(TRANSPOSE(DanhSachSheet), ROW()-ROW(Table17[#Headers]))</f>
        <v>#REF!</v>
      </c>
    </row>
    <row r="118" spans="53:53" x14ac:dyDescent="0.25">
      <c r="BA118" s="185" t="e" cm="1">
        <f t="array" ref="BA118">INDEX(TRANSPOSE(DanhSachSheet), ROW()-ROW(Table17[#Headers]))</f>
        <v>#REF!</v>
      </c>
    </row>
    <row r="119" spans="53:53" x14ac:dyDescent="0.25">
      <c r="BA119" s="185" t="e" cm="1">
        <f t="array" ref="BA119">INDEX(TRANSPOSE(DanhSachSheet), ROW()-ROW(Table17[#Headers]))</f>
        <v>#REF!</v>
      </c>
    </row>
    <row r="120" spans="53:53" x14ac:dyDescent="0.25">
      <c r="BA120" s="185" t="e" cm="1">
        <f t="array" ref="BA120">INDEX(TRANSPOSE(DanhSachSheet), ROW()-ROW(Table17[#Headers]))</f>
        <v>#REF!</v>
      </c>
    </row>
    <row r="121" spans="53:53" x14ac:dyDescent="0.25">
      <c r="BA121" s="185" t="e" cm="1">
        <f t="array" ref="BA121">INDEX(TRANSPOSE(DanhSachSheet), ROW()-ROW(Table17[#Headers]))</f>
        <v>#REF!</v>
      </c>
    </row>
    <row r="122" spans="53:53" x14ac:dyDescent="0.25">
      <c r="BA122" s="185" t="e" cm="1">
        <f t="array" ref="BA122">INDEX(TRANSPOSE(DanhSachSheet), ROW()-ROW(Table17[#Headers]))</f>
        <v>#REF!</v>
      </c>
    </row>
    <row r="123" spans="53:53" x14ac:dyDescent="0.25">
      <c r="BA123" s="185" t="e" cm="1">
        <f t="array" ref="BA123">INDEX(TRANSPOSE(DanhSachSheet), ROW()-ROW(Table17[#Headers]))</f>
        <v>#REF!</v>
      </c>
    </row>
    <row r="124" spans="53:53" x14ac:dyDescent="0.25">
      <c r="BA124" s="185" t="e" cm="1">
        <f t="array" ref="BA124">INDEX(TRANSPOSE(DanhSachSheet), ROW()-ROW(Table17[#Headers]))</f>
        <v>#REF!</v>
      </c>
    </row>
    <row r="125" spans="53:53" x14ac:dyDescent="0.25">
      <c r="BA125" s="185" t="e" cm="1">
        <f t="array" ref="BA125">INDEX(TRANSPOSE(DanhSachSheet), ROW()-ROW(Table17[#Headers]))</f>
        <v>#REF!</v>
      </c>
    </row>
    <row r="126" spans="53:53" x14ac:dyDescent="0.25">
      <c r="BA126" s="185" t="e" cm="1">
        <f t="array" ref="BA126">INDEX(TRANSPOSE(DanhSachSheet), ROW()-ROW(Table17[#Headers]))</f>
        <v>#REF!</v>
      </c>
    </row>
    <row r="127" spans="53:53" x14ac:dyDescent="0.25">
      <c r="BA127" s="185" t="e" cm="1">
        <f t="array" ref="BA127">INDEX(TRANSPOSE(DanhSachSheet), ROW()-ROW(Table17[#Headers]))</f>
        <v>#REF!</v>
      </c>
    </row>
    <row r="128" spans="53:53" x14ac:dyDescent="0.25">
      <c r="BA128" s="185" t="e" cm="1">
        <f t="array" ref="BA128">INDEX(TRANSPOSE(DanhSachSheet), ROW()-ROW(Table17[#Headers]))</f>
        <v>#REF!</v>
      </c>
    </row>
    <row r="129" spans="53:53" x14ac:dyDescent="0.25">
      <c r="BA129" s="185" t="e" cm="1">
        <f t="array" ref="BA129">INDEX(TRANSPOSE(DanhSachSheet), ROW()-ROW(Table17[#Headers]))</f>
        <v>#REF!</v>
      </c>
    </row>
    <row r="130" spans="53:53" x14ac:dyDescent="0.25">
      <c r="BA130" s="185" t="e" cm="1">
        <f t="array" ref="BA130">INDEX(TRANSPOSE(DanhSachSheet), ROW()-ROW(Table17[#Headers]))</f>
        <v>#REF!</v>
      </c>
    </row>
    <row r="131" spans="53:53" x14ac:dyDescent="0.25">
      <c r="BA131" s="185" t="e" cm="1">
        <f t="array" ref="BA131">INDEX(TRANSPOSE(DanhSachSheet), ROW()-ROW(Table17[#Headers]))</f>
        <v>#REF!</v>
      </c>
    </row>
    <row r="132" spans="53:53" x14ac:dyDescent="0.25">
      <c r="BA132" s="185" t="e" cm="1">
        <f t="array" ref="BA132">INDEX(TRANSPOSE(DanhSachSheet), ROW()-ROW(Table17[#Headers]))</f>
        <v>#REF!</v>
      </c>
    </row>
    <row r="133" spans="53:53" x14ac:dyDescent="0.25">
      <c r="BA133" s="185" t="e" cm="1">
        <f t="array" ref="BA133">INDEX(TRANSPOSE(DanhSachSheet), ROW()-ROW(Table17[#Headers]))</f>
        <v>#REF!</v>
      </c>
    </row>
    <row r="134" spans="53:53" x14ac:dyDescent="0.25">
      <c r="BA134" s="185" t="e" cm="1">
        <f t="array" ref="BA134">INDEX(TRANSPOSE(DanhSachSheet), ROW()-ROW(Table17[#Headers]))</f>
        <v>#REF!</v>
      </c>
    </row>
    <row r="135" spans="53:53" x14ac:dyDescent="0.25">
      <c r="BA135" s="185" t="e" cm="1">
        <f t="array" ref="BA135">INDEX(TRANSPOSE(DanhSachSheet), ROW()-ROW(Table17[#Headers]))</f>
        <v>#REF!</v>
      </c>
    </row>
    <row r="136" spans="53:53" x14ac:dyDescent="0.25">
      <c r="BA136" s="185" t="e" cm="1">
        <f t="array" ref="BA136">INDEX(TRANSPOSE(DanhSachSheet), ROW()-ROW(Table17[#Headers]))</f>
        <v>#REF!</v>
      </c>
    </row>
    <row r="137" spans="53:53" x14ac:dyDescent="0.25">
      <c r="BA137" s="185" t="e" cm="1">
        <f t="array" ref="BA137">INDEX(TRANSPOSE(DanhSachSheet), ROW()-ROW(Table17[#Headers]))</f>
        <v>#REF!</v>
      </c>
    </row>
    <row r="138" spans="53:53" x14ac:dyDescent="0.25">
      <c r="BA138" s="185" t="e" cm="1">
        <f t="array" ref="BA138">INDEX(TRANSPOSE(DanhSachSheet), ROW()-ROW(Table17[#Headers]))</f>
        <v>#REF!</v>
      </c>
    </row>
    <row r="139" spans="53:53" x14ac:dyDescent="0.25">
      <c r="BA139" s="185" t="e" cm="1">
        <f t="array" ref="BA139">INDEX(TRANSPOSE(DanhSachSheet), ROW()-ROW(Table17[#Headers]))</f>
        <v>#REF!</v>
      </c>
    </row>
    <row r="140" spans="53:53" x14ac:dyDescent="0.25">
      <c r="BA140" s="185" t="e" cm="1">
        <f t="array" ref="BA140">INDEX(TRANSPOSE(DanhSachSheet), ROW()-ROW(Table17[#Headers]))</f>
        <v>#REF!</v>
      </c>
    </row>
    <row r="141" spans="53:53" x14ac:dyDescent="0.25">
      <c r="BA141" s="185" t="e" cm="1">
        <f t="array" ref="BA141">INDEX(TRANSPOSE(DanhSachSheet), ROW()-ROW(Table17[#Headers]))</f>
        <v>#REF!</v>
      </c>
    </row>
    <row r="142" spans="53:53" x14ac:dyDescent="0.25">
      <c r="BA142" s="185" t="e" cm="1">
        <f t="array" ref="BA142">INDEX(TRANSPOSE(DanhSachSheet), ROW()-ROW(Table17[#Headers]))</f>
        <v>#REF!</v>
      </c>
    </row>
    <row r="143" spans="53:53" x14ac:dyDescent="0.25">
      <c r="BA143" s="185" t="e" cm="1">
        <f t="array" ref="BA143">INDEX(TRANSPOSE(DanhSachSheet), ROW()-ROW(Table17[#Headers]))</f>
        <v>#REF!</v>
      </c>
    </row>
    <row r="144" spans="53:53" x14ac:dyDescent="0.25">
      <c r="BA144" s="185" t="e" cm="1">
        <f t="array" ref="BA144">INDEX(TRANSPOSE(DanhSachSheet), ROW()-ROW(Table17[#Headers]))</f>
        <v>#REF!</v>
      </c>
    </row>
    <row r="145" spans="53:53" x14ac:dyDescent="0.25">
      <c r="BA145" s="185" t="e" cm="1">
        <f t="array" ref="BA145">INDEX(TRANSPOSE(DanhSachSheet), ROW()-ROW(Table17[#Headers]))</f>
        <v>#REF!</v>
      </c>
    </row>
    <row r="146" spans="53:53" x14ac:dyDescent="0.25">
      <c r="BA146" s="185" t="e" cm="1">
        <f t="array" ref="BA146">INDEX(TRANSPOSE(DanhSachSheet), ROW()-ROW(Table17[#Headers]))</f>
        <v>#REF!</v>
      </c>
    </row>
    <row r="147" spans="53:53" x14ac:dyDescent="0.25">
      <c r="BA147" s="185" t="e" cm="1">
        <f t="array" ref="BA147">INDEX(TRANSPOSE(DanhSachSheet), ROW()-ROW(Table17[#Headers]))</f>
        <v>#REF!</v>
      </c>
    </row>
    <row r="148" spans="53:53" x14ac:dyDescent="0.25">
      <c r="BA148" s="185" t="e" cm="1">
        <f t="array" ref="BA148">INDEX(TRANSPOSE(DanhSachSheet), ROW()-ROW(Table17[#Headers]))</f>
        <v>#REF!</v>
      </c>
    </row>
    <row r="149" spans="53:53" x14ac:dyDescent="0.25">
      <c r="BA149" s="185" t="e" cm="1">
        <f t="array" ref="BA149">INDEX(TRANSPOSE(DanhSachSheet), ROW()-ROW(Table17[#Headers]))</f>
        <v>#REF!</v>
      </c>
    </row>
    <row r="150" spans="53:53" x14ac:dyDescent="0.25">
      <c r="BA150" s="185" t="e" cm="1">
        <f t="array" ref="BA150">INDEX(TRANSPOSE(DanhSachSheet), ROW()-ROW(Table17[#Headers]))</f>
        <v>#REF!</v>
      </c>
    </row>
    <row r="151" spans="53:53" x14ac:dyDescent="0.25">
      <c r="BA151" s="185" t="e" cm="1">
        <f t="array" ref="BA151">INDEX(TRANSPOSE(DanhSachSheet), ROW()-ROW(Table17[#Headers]))</f>
        <v>#REF!</v>
      </c>
    </row>
    <row r="152" spans="53:53" x14ac:dyDescent="0.25">
      <c r="BA152" s="185" t="e" cm="1">
        <f t="array" ref="BA152">INDEX(TRANSPOSE(DanhSachSheet), ROW()-ROW(Table17[#Headers]))</f>
        <v>#REF!</v>
      </c>
    </row>
    <row r="153" spans="53:53" x14ac:dyDescent="0.25">
      <c r="BA153" s="185" t="e" cm="1">
        <f t="array" ref="BA153">INDEX(TRANSPOSE(DanhSachSheet), ROW()-ROW(Table17[#Headers]))</f>
        <v>#REF!</v>
      </c>
    </row>
    <row r="154" spans="53:53" x14ac:dyDescent="0.25">
      <c r="BA154" s="185" t="e" cm="1">
        <f t="array" ref="BA154">INDEX(TRANSPOSE(DanhSachSheet), ROW()-ROW(Table17[#Headers]))</f>
        <v>#REF!</v>
      </c>
    </row>
    <row r="155" spans="53:53" x14ac:dyDescent="0.25">
      <c r="BA155" s="185" t="e" cm="1">
        <f t="array" ref="BA155">INDEX(TRANSPOSE(DanhSachSheet), ROW()-ROW(Table17[#Headers]))</f>
        <v>#REF!</v>
      </c>
    </row>
    <row r="156" spans="53:53" x14ac:dyDescent="0.25">
      <c r="BA156" s="185" t="e" cm="1">
        <f t="array" ref="BA156">INDEX(TRANSPOSE(DanhSachSheet), ROW()-ROW(Table17[#Headers]))</f>
        <v>#REF!</v>
      </c>
    </row>
    <row r="157" spans="53:53" x14ac:dyDescent="0.25">
      <c r="BA157" s="185" t="e" cm="1">
        <f t="array" ref="BA157">INDEX(TRANSPOSE(DanhSachSheet), ROW()-ROW(Table17[#Headers]))</f>
        <v>#REF!</v>
      </c>
    </row>
    <row r="158" spans="53:53" x14ac:dyDescent="0.25">
      <c r="BA158" s="185" t="e" cm="1">
        <f t="array" ref="BA158">INDEX(TRANSPOSE(DanhSachSheet), ROW()-ROW(Table17[#Headers]))</f>
        <v>#REF!</v>
      </c>
    </row>
    <row r="159" spans="53:53" x14ac:dyDescent="0.25">
      <c r="BA159" s="185" t="e" cm="1">
        <f t="array" ref="BA159">INDEX(TRANSPOSE(DanhSachSheet), ROW()-ROW(Table17[#Headers]))</f>
        <v>#REF!</v>
      </c>
    </row>
    <row r="160" spans="53:53" x14ac:dyDescent="0.25">
      <c r="BA160" s="185" t="e" cm="1">
        <f t="array" ref="BA160">INDEX(TRANSPOSE(DanhSachSheet), ROW()-ROW(Table17[#Headers]))</f>
        <v>#REF!</v>
      </c>
    </row>
    <row r="161" spans="53:53" x14ac:dyDescent="0.25">
      <c r="BA161" s="185" t="e" cm="1">
        <f t="array" ref="BA161">INDEX(TRANSPOSE(DanhSachSheet), ROW()-ROW(Table17[#Headers]))</f>
        <v>#REF!</v>
      </c>
    </row>
    <row r="162" spans="53:53" x14ac:dyDescent="0.25">
      <c r="BA162" s="185" t="e" cm="1">
        <f t="array" ref="BA162">INDEX(TRANSPOSE(DanhSachSheet), ROW()-ROW(Table17[#Headers]))</f>
        <v>#REF!</v>
      </c>
    </row>
    <row r="163" spans="53:53" x14ac:dyDescent="0.25">
      <c r="BA163" s="185" t="e" cm="1">
        <f t="array" ref="BA163">INDEX(TRANSPOSE(DanhSachSheet), ROW()-ROW(Table17[#Headers]))</f>
        <v>#REF!</v>
      </c>
    </row>
    <row r="164" spans="53:53" x14ac:dyDescent="0.25">
      <c r="BA164" s="185" t="e" cm="1">
        <f t="array" ref="BA164">INDEX(TRANSPOSE(DanhSachSheet), ROW()-ROW(Table17[#Headers]))</f>
        <v>#REF!</v>
      </c>
    </row>
    <row r="165" spans="53:53" x14ac:dyDescent="0.25">
      <c r="BA165" s="185" t="e" cm="1">
        <f t="array" ref="BA165">INDEX(TRANSPOSE(DanhSachSheet), ROW()-ROW(Table17[#Headers]))</f>
        <v>#REF!</v>
      </c>
    </row>
    <row r="166" spans="53:53" x14ac:dyDescent="0.25">
      <c r="BA166" s="185" t="e" cm="1">
        <f t="array" ref="BA166">INDEX(TRANSPOSE(DanhSachSheet), ROW()-ROW(Table17[#Headers]))</f>
        <v>#REF!</v>
      </c>
    </row>
    <row r="167" spans="53:53" x14ac:dyDescent="0.25">
      <c r="BA167" s="185" t="e" cm="1">
        <f t="array" ref="BA167">INDEX(TRANSPOSE(DanhSachSheet), ROW()-ROW(Table17[#Headers]))</f>
        <v>#REF!</v>
      </c>
    </row>
    <row r="168" spans="53:53" x14ac:dyDescent="0.25">
      <c r="BA168" s="185" t="e" cm="1">
        <f t="array" ref="BA168">INDEX(TRANSPOSE(DanhSachSheet), ROW()-ROW(Table17[#Headers]))</f>
        <v>#REF!</v>
      </c>
    </row>
    <row r="169" spans="53:53" x14ac:dyDescent="0.25">
      <c r="BA169" s="185" t="e" cm="1">
        <f t="array" ref="BA169">INDEX(TRANSPOSE(DanhSachSheet), ROW()-ROW(Table17[#Headers]))</f>
        <v>#REF!</v>
      </c>
    </row>
    <row r="170" spans="53:53" x14ac:dyDescent="0.25">
      <c r="BA170" s="185" t="e" cm="1">
        <f t="array" ref="BA170">INDEX(TRANSPOSE(DanhSachSheet), ROW()-ROW(Table17[#Headers]))</f>
        <v>#REF!</v>
      </c>
    </row>
    <row r="171" spans="53:53" x14ac:dyDescent="0.25">
      <c r="BA171" s="185" t="e" cm="1">
        <f t="array" ref="BA171">INDEX(TRANSPOSE(DanhSachSheet), ROW()-ROW(Table17[#Headers]))</f>
        <v>#REF!</v>
      </c>
    </row>
    <row r="172" spans="53:53" x14ac:dyDescent="0.25">
      <c r="BA172" s="185" t="e" cm="1">
        <f t="array" ref="BA172">INDEX(TRANSPOSE(DanhSachSheet), ROW()-ROW(Table17[#Headers]))</f>
        <v>#REF!</v>
      </c>
    </row>
    <row r="173" spans="53:53" x14ac:dyDescent="0.25">
      <c r="BA173" s="185" t="e" cm="1">
        <f t="array" ref="BA173">INDEX(TRANSPOSE(DanhSachSheet), ROW()-ROW(Table17[#Headers]))</f>
        <v>#REF!</v>
      </c>
    </row>
    <row r="174" spans="53:53" x14ac:dyDescent="0.25">
      <c r="BA174" s="185" t="e" cm="1">
        <f t="array" ref="BA174">INDEX(TRANSPOSE(DanhSachSheet), ROW()-ROW(Table17[#Headers]))</f>
        <v>#REF!</v>
      </c>
    </row>
    <row r="175" spans="53:53" x14ac:dyDescent="0.25">
      <c r="BA175" s="185" t="e" cm="1">
        <f t="array" ref="BA175">INDEX(TRANSPOSE(DanhSachSheet), ROW()-ROW(Table17[#Headers]))</f>
        <v>#REF!</v>
      </c>
    </row>
  </sheetData>
  <mergeCells count="2">
    <mergeCell ref="AG2:AJ2"/>
    <mergeCell ref="AK2:AN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24" fitToHeight="0" orientation="landscape" blackAndWhite="1" r:id="rId1"/>
  <headerFooter alignWithMargins="0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LV-MSB1</vt:lpstr>
      <vt:lpstr>MCP-B2F-FAF.Z1</vt:lpstr>
      <vt:lpstr>MCP-B2F-FAF.Z1 (3)</vt:lpstr>
      <vt:lpstr>MCP-B2F-FAF.Z1 (2)</vt:lpstr>
      <vt:lpstr>Spec. Cable</vt:lpstr>
      <vt:lpstr>cb_ISC</vt:lpstr>
      <vt:lpstr>CB_Pole</vt:lpstr>
      <vt:lpstr>CB_Rating</vt:lpstr>
      <vt:lpstr>CB_TYPE</vt:lpstr>
      <vt:lpstr>DKC</vt:lpstr>
      <vt:lpstr>DKO</vt:lpstr>
      <vt:lpstr>HasArrow</vt:lpstr>
      <vt:lpstr>POLE</vt:lpstr>
      <vt:lpstr>SL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Nhật Trường</dc:creator>
  <cp:lastModifiedBy>Nhật Trường</cp:lastModifiedBy>
  <cp:lastPrinted>2026-07-31T15:32:43Z</cp:lastPrinted>
  <dcterms:created xsi:type="dcterms:W3CDTF">2026-05-31T07:20:49Z</dcterms:created>
  <dcterms:modified xsi:type="dcterms:W3CDTF">2026-07-31T17:22:42Z</dcterms:modified>
</cp:coreProperties>
</file>